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Parameters" sheetId="2" state="visible" r:id="rId4"/>
    <sheet name="Items" sheetId="3" state="visible" r:id="rId5"/>
    <sheet name="Policy_Results" sheetId="4" state="visible" r:id="rId6"/>
    <sheet name="Summary" sheetId="5" state="visible" r:id="rId7"/>
    <sheet name="Gap_Timeline" sheetId="6" state="visible" r:id="rId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<sst xmlns="http://schemas.openxmlformats.org/spreadsheetml/2006/main" count="295" uniqueCount="145">
  <si>
    <t xml:space="preserve">Healthcare Inventory Policy Simulator - Synthetic Dataset</t>
  </si>
  <si>
    <t xml:space="preserve">Purpose</t>
  </si>
  <si>
    <t xml:space="preserve">Compares two replenishment policies (Policy 1 = Baseline, Policy 2 = Optimized) on a set of synthetic items, so the effect of lead time, safety stock and stock-coverage flexibility can be simulated.</t>
  </si>
  <si>
    <t xml:space="preserve">IMPORTANT</t>
  </si>
  <si>
    <t xml:space="preserve">All items, consumption figures and unit costs are SYNTHETIC (randomly generated). No real hospital or authority data is used anywhere in this workbook.</t>
  </si>
  <si>
    <t xml:space="preserve">Legend</t>
  </si>
  <si>
    <t xml:space="preserve">Blue font = input you can change. Black font = formula. Green font = formula pulling a value from another sheet. Change inputs only in the blue cells (Parameters, Items, Gap_Timeline).</t>
  </si>
  <si>
    <t xml:space="preserve">Sheets</t>
  </si>
  <si>
    <t xml:space="preserve">Parameters: policy settings | Items: synthetic item list (inputs) | Policy_Results: one row per item per policy (all formulas, ready for Power BI) | Summary: totals and comparison | Gap_Timeline: time gap between dispensing and delivery.</t>
  </si>
  <si>
    <t xml:space="preserve">Method</t>
  </si>
  <si>
    <t xml:space="preserve">Safety stock = consumption x safety months. Reorder point (ROP) = safety months + lead time months. Max level = consumption x max coverage months. Order quantity = Max level - stock at time of order (which equals the ROP), as in the worked example of the original proposal. Peak stock = Max level - consumption during lead time. Trough = safety stock. Average inventory = (peak + trough) / 2. Orders per year = 12 x consumption / order quantity.</t>
  </si>
  <si>
    <t xml:space="preserve">Policy 1</t>
  </si>
  <si>
    <t xml:space="preserve">Lead time 2 months, safety stock 2 months, ROP 4 months, max coverage 6 months (the original range was 5-6; 6 is used here).</t>
  </si>
  <si>
    <t xml:space="preserve">Policy 2</t>
  </si>
  <si>
    <t xml:space="preserve">Lead time 1 month, safety stock 1 month, ROP 2 months, max coverage flexible between 3 and 6 months per item (set in Items, column F).</t>
  </si>
  <si>
    <t xml:space="preserve">Assumptions</t>
  </si>
  <si>
    <t xml:space="preserve">Holding cost rate (20% of inventory value per year), months per year (12) and days per month (30) are assumptions placed in blue cells and can be changed. Unit costs are in EGP and are synthetic. Phase durations in Gap_Timeline come from the original proposal (approval cycle 40 -&gt; 15 days; request-to-delivery about 60 -&gt; 30 days); the 20-day and 15-day supplier phases are derived by subtraction.</t>
  </si>
  <si>
    <t xml:space="preserve">Key reading</t>
  </si>
  <si>
    <t xml:space="preserve">For an item whose max coverage drops from 6 to 3 months, average inventory halves. Lowering coverage also shortens the order cycle, so orders per year rise for those items. The overall result depends on the item mix chosen in Items, column F.</t>
  </si>
  <si>
    <t xml:space="preserve">Policy Parameters</t>
  </si>
  <si>
    <t xml:space="preserve">Parameter</t>
  </si>
  <si>
    <t xml:space="preserve">Policy 1 (Baseline)</t>
  </si>
  <si>
    <t xml:space="preserve">Policy 2 (Optimized)</t>
  </si>
  <si>
    <t xml:space="preserve">Note</t>
  </si>
  <si>
    <t xml:space="preserve">Lead time (months)</t>
  </si>
  <si>
    <t xml:space="preserve">Request to actual delivery. From the original proposal (about 60 -&gt; 30 days).</t>
  </si>
  <si>
    <t xml:space="preserve">Safety stock (months)</t>
  </si>
  <si>
    <t xml:space="preserve">Safety stock halves when lead time halves (safety &gt;= lead time rule in the proposal).</t>
  </si>
  <si>
    <t xml:space="preserve">Reorder point (months)</t>
  </si>
  <si>
    <t xml:space="preserve">Formula: safety stock + lead time.</t>
  </si>
  <si>
    <t xml:space="preserve">Max coverage (months)</t>
  </si>
  <si>
    <t xml:space="preserve">Per item (3 to 6)</t>
  </si>
  <si>
    <t xml:space="preserve">Policy 1 original range 5-6, 6 used. Policy 2 is set per item in Items, column F.</t>
  </si>
  <si>
    <t xml:space="preserve">Holding cost rate (% of inventory value per year)</t>
  </si>
  <si>
    <t xml:space="preserve">ASSUMPTION (synthetic). Applies to both policies.</t>
  </si>
  <si>
    <t xml:space="preserve">Months per year</t>
  </si>
  <si>
    <t xml:space="preserve">Calendar constant used in orders-per-year formula.</t>
  </si>
  <si>
    <t xml:space="preserve">ItemID</t>
  </si>
  <si>
    <t xml:space="preserve">Item</t>
  </si>
  <si>
    <t xml:space="preserve">Category</t>
  </si>
  <si>
    <t xml:space="preserve">Avg monthly consumption (units)</t>
  </si>
  <si>
    <t xml:space="preserve">Unit cost (EGP, synthetic)</t>
  </si>
  <si>
    <t xml:space="preserve">Policy 2 max coverage (months, 3-6)</t>
  </si>
  <si>
    <t xml:space="preserve">IT01</t>
  </si>
  <si>
    <t xml:space="preserve">Chronic Care Item 01</t>
  </si>
  <si>
    <t xml:space="preserve">Chronic Care</t>
  </si>
  <si>
    <t xml:space="preserve">IT02</t>
  </si>
  <si>
    <t xml:space="preserve">Chronic Care Item 02</t>
  </si>
  <si>
    <t xml:space="preserve">IT03</t>
  </si>
  <si>
    <t xml:space="preserve">Chronic Care Item 03</t>
  </si>
  <si>
    <t xml:space="preserve">IT04</t>
  </si>
  <si>
    <t xml:space="preserve">Chronic Care Item 04</t>
  </si>
  <si>
    <t xml:space="preserve">IT05</t>
  </si>
  <si>
    <t xml:space="preserve">Chronic Care Item 05</t>
  </si>
  <si>
    <t xml:space="preserve">IT06</t>
  </si>
  <si>
    <t xml:space="preserve">Antibiotics Item 01</t>
  </si>
  <si>
    <t xml:space="preserve">Antibiotics</t>
  </si>
  <si>
    <t xml:space="preserve">IT07</t>
  </si>
  <si>
    <t xml:space="preserve">Antibiotics Item 02</t>
  </si>
  <si>
    <t xml:space="preserve">IT08</t>
  </si>
  <si>
    <t xml:space="preserve">Antibiotics Item 03</t>
  </si>
  <si>
    <t xml:space="preserve">IT09</t>
  </si>
  <si>
    <t xml:space="preserve">Antibiotics Item 04</t>
  </si>
  <si>
    <t xml:space="preserve">IT10</t>
  </si>
  <si>
    <t xml:space="preserve">Antibiotics Item 05</t>
  </si>
  <si>
    <t xml:space="preserve">IT11</t>
  </si>
  <si>
    <t xml:space="preserve">Emergency Item 01</t>
  </si>
  <si>
    <t xml:space="preserve">Emergency</t>
  </si>
  <si>
    <t xml:space="preserve">IT12</t>
  </si>
  <si>
    <t xml:space="preserve">Emergency Item 02</t>
  </si>
  <si>
    <t xml:space="preserve">IT13</t>
  </si>
  <si>
    <t xml:space="preserve">Emergency Item 03</t>
  </si>
  <si>
    <t xml:space="preserve">IT14</t>
  </si>
  <si>
    <t xml:space="preserve">Emergency Item 04</t>
  </si>
  <si>
    <t xml:space="preserve">IT15</t>
  </si>
  <si>
    <t xml:space="preserve">Specialty High-Cost Item 01</t>
  </si>
  <si>
    <t xml:space="preserve">Specialty High-Cost</t>
  </si>
  <si>
    <t xml:space="preserve">IT16</t>
  </si>
  <si>
    <t xml:space="preserve">Specialty High-Cost Item 02</t>
  </si>
  <si>
    <t xml:space="preserve">IT17</t>
  </si>
  <si>
    <t xml:space="preserve">Specialty High-Cost Item 03</t>
  </si>
  <si>
    <t xml:space="preserve">IT18</t>
  </si>
  <si>
    <t xml:space="preserve">Specialty High-Cost Item 04</t>
  </si>
  <si>
    <t xml:space="preserve">IT19</t>
  </si>
  <si>
    <t xml:space="preserve">Lab Consumables Item 01</t>
  </si>
  <si>
    <t xml:space="preserve">Lab Consumables</t>
  </si>
  <si>
    <t xml:space="preserve">IT20</t>
  </si>
  <si>
    <t xml:space="preserve">Lab Consumables Item 02</t>
  </si>
  <si>
    <t xml:space="preserve">IT21</t>
  </si>
  <si>
    <t xml:space="preserve">Lab Consumables Item 03</t>
  </si>
  <si>
    <t xml:space="preserve">IT22</t>
  </si>
  <si>
    <t xml:space="preserve">Lab Consumables Item 04</t>
  </si>
  <si>
    <t xml:space="preserve">IT23</t>
  </si>
  <si>
    <t xml:space="preserve">General Consumables Item 01</t>
  </si>
  <si>
    <t xml:space="preserve">General Consumables</t>
  </si>
  <si>
    <t xml:space="preserve">IT24</t>
  </si>
  <si>
    <t xml:space="preserve">General Consumables Item 02</t>
  </si>
  <si>
    <t xml:space="preserve">IT25</t>
  </si>
  <si>
    <t xml:space="preserve">General Consumables Item 03</t>
  </si>
  <si>
    <t xml:space="preserve">Policy</t>
  </si>
  <si>
    <t xml:space="preserve">Unit cost (EGP)</t>
  </si>
  <si>
    <t xml:space="preserve">Safety stock (units)</t>
  </si>
  <si>
    <t xml:space="preserve">Reorder point (units)</t>
  </si>
  <si>
    <t xml:space="preserve">Max level (units)</t>
  </si>
  <si>
    <t xml:space="preserve">Order quantity (units)</t>
  </si>
  <si>
    <t xml:space="preserve">Peak stock (units)</t>
  </si>
  <si>
    <t xml:space="preserve">Trough stock (units)</t>
  </si>
  <si>
    <t xml:space="preserve">Avg inventory (units)</t>
  </si>
  <si>
    <t xml:space="preserve">Orders per year</t>
  </si>
  <si>
    <t xml:space="preserve">Avg inventory value (EGP)</t>
  </si>
  <si>
    <t xml:space="preserve">Annual holding cost (EGP)</t>
  </si>
  <si>
    <t xml:space="preserve">Policy 2 target coverage of item (months)</t>
  </si>
  <si>
    <t xml:space="preserve">P1 Baseline</t>
  </si>
  <si>
    <t xml:space="preserve">P2 Optimized</t>
  </si>
  <si>
    <t xml:space="preserve">Summary: Policy 1 (Baseline) vs Policy 2 (Optimized)</t>
  </si>
  <si>
    <t xml:space="preserve">All items</t>
  </si>
  <si>
    <t xml:space="preserve">Change</t>
  </si>
  <si>
    <t xml:space="preserve">Avg orders per item per year</t>
  </si>
  <si>
    <t xml:space="preserve">Items moved to 3-month max coverage only</t>
  </si>
  <si>
    <t xml:space="preserve">Number of items</t>
  </si>
  <si>
    <t xml:space="preserve">By category: avg inventory value (EGP)</t>
  </si>
  <si>
    <t xml:space="preserve">Time Gap: from actual dispensing to delivery (days)</t>
  </si>
  <si>
    <t xml:space="preserve">Phase</t>
  </si>
  <si>
    <t xml:space="preserve">P1 Baseline (days)</t>
  </si>
  <si>
    <t xml:space="preserve">P2 Optimized (days)</t>
  </si>
  <si>
    <t xml:space="preserve">Source / note</t>
  </si>
  <si>
    <t xml:space="preserve">1. Information lag (demand form reflects older dispensing)</t>
  </si>
  <si>
    <t xml:space="preserve">Before: pharmacies replenish at the start of the following month, so the form reflects the previous month. After: replenishment before day 26, so the form reflects the same month.</t>
  </si>
  <si>
    <t xml:space="preserve">2. Request submission to HQ approval</t>
  </si>
  <si>
    <t xml:space="preserve">Original proposal: 1 month 10 days -&gt; 15 days.</t>
  </si>
  <si>
    <t xml:space="preserve">3. Supplier order to delivery</t>
  </si>
  <si>
    <t xml:space="preserve">DERIVED: total request-to-delivery (about 60 -&gt; 30 days) minus the approval phase.</t>
  </si>
  <si>
    <t xml:space="preserve">Request to delivery (phases 2 + 3)</t>
  </si>
  <si>
    <t xml:space="preserve">Total gap: dispensing to delivery (phases 1 + 2 + 3)</t>
  </si>
  <si>
    <t xml:space="preserve">The proposal states about 3 months before and under 1 month after.</t>
  </si>
  <si>
    <t xml:space="preserve">Reduction in total gap</t>
  </si>
  <si>
    <t xml:space="preserve">Response to a consumption increase (illustrative)</t>
  </si>
  <si>
    <t xml:space="preserve">Consumption surge (% above normal)</t>
  </si>
  <si>
    <t xml:space="preserve">ASSUMPTION: change to test other surges. Applies to both policies.</t>
  </si>
  <si>
    <t xml:space="preserve">Days per month</t>
  </si>
  <si>
    <t xml:space="preserve">Calendar constant.</t>
  </si>
  <si>
    <t xml:space="preserve">Days until a corrective order can arrive</t>
  </si>
  <si>
    <t xml:space="preserve">Extra consumption before correction (months of normal consumption)</t>
  </si>
  <si>
    <t xml:space="preserve">Share of safety stock consumed before correction</t>
  </si>
  <si>
    <t xml:space="preserve">Extra consumption divided by safety stock months.</t>
  </si>
</sst>
</file>

<file path=xl/styles.xml><?xml version="1.0" encoding="utf-8"?>
<styleSheet xmlns="http://schemas.openxmlformats.org/spreadsheetml/2006/main">
  <numFmts count="8">
    <numFmt numFmtId="164" formatCode="General"/>
    <numFmt numFmtId="165" formatCode="0.0"/>
    <numFmt numFmtId="166" formatCode="0.0%"/>
    <numFmt numFmtId="167" formatCode="0"/>
    <numFmt numFmtId="168" formatCode="#,##0"/>
    <numFmt numFmtId="169" formatCode="#,##0.0"/>
    <numFmt numFmtId="170" formatCode="0%"/>
    <numFmt numFmtId="171" formatCode="0.00"/>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b val="true"/>
      <sz val="10"/>
      <name val="Arial"/>
      <family val="0"/>
      <charset val="1"/>
    </font>
    <font>
      <sz val="10"/>
      <color rgb="FF000000"/>
      <name val="Arial"/>
      <family val="0"/>
      <charset val="1"/>
    </font>
    <font>
      <b val="true"/>
      <sz val="10"/>
      <color rgb="FFFFFFFF"/>
      <name val="Arial"/>
      <family val="0"/>
      <charset val="1"/>
    </font>
    <font>
      <sz val="10"/>
      <color rgb="FF0000FF"/>
      <name val="Arial"/>
      <family val="0"/>
      <charset val="1"/>
    </font>
    <font>
      <sz val="10"/>
      <color rgb="FF008000"/>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8" fontId="8" fillId="0" borderId="1" xfId="0" applyFont="true" applyBorder="true" applyAlignment="false" applyProtection="false">
      <alignment horizontal="general" vertical="bottom" textRotation="0" wrapText="false" indent="0" shrinkToFit="false"/>
      <protection locked="true" hidden="false"/>
    </xf>
    <xf numFmtId="169"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8" fontId="9" fillId="0" borderId="1" xfId="0" applyFont="true" applyBorder="true" applyAlignment="false" applyProtection="false">
      <alignment horizontal="general" vertical="bottom" textRotation="0" wrapText="false" indent="0" shrinkToFit="false"/>
      <protection locked="true" hidden="false"/>
    </xf>
    <xf numFmtId="169" fontId="9" fillId="0" borderId="1" xfId="0" applyFont="true" applyBorder="true" applyAlignment="false" applyProtection="false">
      <alignment horizontal="general" vertical="bottom" textRotation="0" wrapText="false" indent="0" shrinkToFit="false"/>
      <protection locked="true" hidden="false"/>
    </xf>
    <xf numFmtId="165" fontId="9"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9"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71" fontId="6" fillId="0" borderId="1" xfId="0" applyFont="true" applyBorder="true" applyAlignment="false" applyProtection="false">
      <alignment horizontal="general" vertical="bottom" textRotation="0" wrapText="false" indent="0" shrinkToFit="false"/>
      <protection locked="true" hidden="false"/>
    </xf>
    <xf numFmtId="166" fontId="9"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0"/>
  </cols>
  <sheetData>
    <row r="1" customFormat="false" ht="17.35" hidden="false" customHeight="false" outlineLevel="0" collapsed="false">
      <c r="A1" s="1" t="s">
        <v>0</v>
      </c>
    </row>
    <row r="3" customFormat="false" ht="45" hidden="false" customHeight="true" outlineLevel="0" collapsed="false">
      <c r="A3" s="2" t="s">
        <v>1</v>
      </c>
      <c r="B3" s="3" t="s">
        <v>2</v>
      </c>
    </row>
    <row r="4" customFormat="false" ht="30" hidden="false" customHeight="true" outlineLevel="0" collapsed="false">
      <c r="A4" s="2" t="s">
        <v>3</v>
      </c>
      <c r="B4" s="4" t="s">
        <v>4</v>
      </c>
    </row>
    <row r="5" customFormat="false" ht="30" hidden="false" customHeight="true" outlineLevel="0" collapsed="false">
      <c r="A5" s="2" t="s">
        <v>5</v>
      </c>
      <c r="B5" s="3" t="s">
        <v>6</v>
      </c>
    </row>
    <row r="6" customFormat="false" ht="45" hidden="false" customHeight="true" outlineLevel="0" collapsed="false">
      <c r="A6" s="2" t="s">
        <v>7</v>
      </c>
      <c r="B6" s="3" t="s">
        <v>8</v>
      </c>
    </row>
    <row r="7" customFormat="false" ht="75" hidden="false" customHeight="true" outlineLevel="0" collapsed="false">
      <c r="A7" s="2" t="s">
        <v>9</v>
      </c>
      <c r="B7" s="3" t="s">
        <v>10</v>
      </c>
    </row>
    <row r="8" customFormat="false" ht="30" hidden="false" customHeight="true" outlineLevel="0" collapsed="false">
      <c r="A8" s="2" t="s">
        <v>11</v>
      </c>
      <c r="B8" s="3" t="s">
        <v>12</v>
      </c>
    </row>
    <row r="9" customFormat="false" ht="30" hidden="false" customHeight="true" outlineLevel="0" collapsed="false">
      <c r="A9" s="2" t="s">
        <v>13</v>
      </c>
      <c r="B9" s="3" t="s">
        <v>14</v>
      </c>
    </row>
    <row r="10" customFormat="false" ht="75" hidden="false" customHeight="true" outlineLevel="0" collapsed="false">
      <c r="A10" s="2" t="s">
        <v>15</v>
      </c>
      <c r="B10" s="3" t="s">
        <v>16</v>
      </c>
    </row>
    <row r="11" customFormat="false" ht="45" hidden="false" customHeight="true" outlineLevel="0" collapsed="false">
      <c r="A11" s="2" t="s">
        <v>17</v>
      </c>
      <c r="B11" s="3" t="s">
        <v>18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22"/>
    <col collapsed="false" customWidth="true" hidden="false" outlineLevel="0" max="4" min="4" style="0" width="80"/>
  </cols>
  <sheetData>
    <row r="1" customFormat="false" ht="17.35" hidden="false" customHeight="false" outlineLevel="0" collapsed="false">
      <c r="A1" s="1" t="s">
        <v>19</v>
      </c>
    </row>
    <row r="3" customFormat="false" ht="15" hidden="false" customHeight="false" outlineLevel="0" collapsed="false">
      <c r="A3" s="5" t="s">
        <v>20</v>
      </c>
      <c r="B3" s="5" t="s">
        <v>21</v>
      </c>
      <c r="C3" s="5" t="s">
        <v>22</v>
      </c>
      <c r="D3" s="5" t="s">
        <v>23</v>
      </c>
    </row>
    <row r="4" customFormat="false" ht="15" hidden="false" customHeight="false" outlineLevel="0" collapsed="false">
      <c r="A4" s="6" t="s">
        <v>24</v>
      </c>
      <c r="B4" s="7" t="n">
        <v>2</v>
      </c>
      <c r="C4" s="7" t="n">
        <v>1</v>
      </c>
      <c r="D4" s="8" t="s">
        <v>25</v>
      </c>
    </row>
    <row r="5" customFormat="false" ht="15" hidden="false" customHeight="false" outlineLevel="0" collapsed="false">
      <c r="A5" s="6" t="s">
        <v>26</v>
      </c>
      <c r="B5" s="7" t="n">
        <v>2</v>
      </c>
      <c r="C5" s="7" t="n">
        <v>1</v>
      </c>
      <c r="D5" s="8" t="s">
        <v>27</v>
      </c>
    </row>
    <row r="6" customFormat="false" ht="15" hidden="false" customHeight="false" outlineLevel="0" collapsed="false">
      <c r="A6" s="6" t="s">
        <v>28</v>
      </c>
      <c r="B6" s="9" t="n">
        <f aca="false">B4+B5</f>
        <v>4</v>
      </c>
      <c r="C6" s="9" t="n">
        <f aca="false">C4+C5</f>
        <v>2</v>
      </c>
      <c r="D6" s="8" t="s">
        <v>29</v>
      </c>
    </row>
    <row r="7" customFormat="false" ht="15" hidden="false" customHeight="false" outlineLevel="0" collapsed="false">
      <c r="A7" s="6" t="s">
        <v>30</v>
      </c>
      <c r="B7" s="7" t="n">
        <v>6</v>
      </c>
      <c r="C7" s="6" t="s">
        <v>31</v>
      </c>
      <c r="D7" s="8" t="s">
        <v>32</v>
      </c>
    </row>
    <row r="8" customFormat="false" ht="15" hidden="false" customHeight="false" outlineLevel="0" collapsed="false">
      <c r="A8" s="6" t="s">
        <v>33</v>
      </c>
      <c r="B8" s="10" t="n">
        <v>0.2</v>
      </c>
      <c r="C8" s="6"/>
      <c r="D8" s="8" t="s">
        <v>34</v>
      </c>
    </row>
    <row r="9" customFormat="false" ht="15" hidden="false" customHeight="false" outlineLevel="0" collapsed="false">
      <c r="A9" s="6" t="s">
        <v>35</v>
      </c>
      <c r="B9" s="11" t="n">
        <v>12</v>
      </c>
      <c r="C9" s="6"/>
      <c r="D9" s="8" t="s">
        <v>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28"/>
    <col collapsed="false" customWidth="true" hidden="false" outlineLevel="0" max="5" min="3" style="0" width="22"/>
    <col collapsed="false" customWidth="true" hidden="false" outlineLevel="0" max="6" min="6" style="0" width="24"/>
  </cols>
  <sheetData>
    <row r="1" customFormat="false" ht="42" hidden="false" customHeight="true" outlineLevel="0" collapsed="false">
      <c r="A1" s="5" t="s">
        <v>37</v>
      </c>
      <c r="B1" s="5" t="s">
        <v>38</v>
      </c>
      <c r="C1" s="5" t="s">
        <v>39</v>
      </c>
      <c r="D1" s="5" t="s">
        <v>40</v>
      </c>
      <c r="E1" s="5" t="s">
        <v>41</v>
      </c>
      <c r="F1" s="5" t="s">
        <v>42</v>
      </c>
    </row>
    <row r="2" customFormat="false" ht="15" hidden="false" customHeight="false" outlineLevel="0" collapsed="false">
      <c r="A2" s="6" t="s">
        <v>43</v>
      </c>
      <c r="B2" s="6" t="s">
        <v>44</v>
      </c>
      <c r="C2" s="6" t="s">
        <v>45</v>
      </c>
      <c r="D2" s="12" t="n">
        <v>840</v>
      </c>
      <c r="E2" s="13" t="n">
        <v>18</v>
      </c>
      <c r="F2" s="7" t="n">
        <v>3</v>
      </c>
    </row>
    <row r="3" customFormat="false" ht="15" hidden="false" customHeight="false" outlineLevel="0" collapsed="false">
      <c r="A3" s="6" t="s">
        <v>46</v>
      </c>
      <c r="B3" s="6" t="s">
        <v>47</v>
      </c>
      <c r="C3" s="6" t="s">
        <v>45</v>
      </c>
      <c r="D3" s="12" t="n">
        <v>480</v>
      </c>
      <c r="E3" s="13" t="n">
        <v>38</v>
      </c>
      <c r="F3" s="7" t="n">
        <v>3</v>
      </c>
    </row>
    <row r="4" customFormat="false" ht="15" hidden="false" customHeight="false" outlineLevel="0" collapsed="false">
      <c r="A4" s="6" t="s">
        <v>48</v>
      </c>
      <c r="B4" s="6" t="s">
        <v>49</v>
      </c>
      <c r="C4" s="6" t="s">
        <v>45</v>
      </c>
      <c r="D4" s="12" t="n">
        <v>940</v>
      </c>
      <c r="E4" s="13" t="n">
        <v>86</v>
      </c>
      <c r="F4" s="7" t="n">
        <v>3</v>
      </c>
    </row>
    <row r="5" customFormat="false" ht="15" hidden="false" customHeight="false" outlineLevel="0" collapsed="false">
      <c r="A5" s="6" t="s">
        <v>50</v>
      </c>
      <c r="B5" s="6" t="s">
        <v>51</v>
      </c>
      <c r="C5" s="6" t="s">
        <v>45</v>
      </c>
      <c r="D5" s="12" t="n">
        <v>1090</v>
      </c>
      <c r="E5" s="13" t="n">
        <v>24</v>
      </c>
      <c r="F5" s="7" t="n">
        <v>3</v>
      </c>
    </row>
    <row r="6" customFormat="false" ht="15" hidden="false" customHeight="false" outlineLevel="0" collapsed="false">
      <c r="A6" s="6" t="s">
        <v>52</v>
      </c>
      <c r="B6" s="6" t="s">
        <v>53</v>
      </c>
      <c r="C6" s="6" t="s">
        <v>45</v>
      </c>
      <c r="D6" s="12" t="n">
        <v>620</v>
      </c>
      <c r="E6" s="13" t="n">
        <v>18</v>
      </c>
      <c r="F6" s="7" t="n">
        <v>3</v>
      </c>
    </row>
    <row r="7" customFormat="false" ht="15" hidden="false" customHeight="false" outlineLevel="0" collapsed="false">
      <c r="A7" s="6" t="s">
        <v>54</v>
      </c>
      <c r="B7" s="6" t="s">
        <v>55</v>
      </c>
      <c r="C7" s="6" t="s">
        <v>56</v>
      </c>
      <c r="D7" s="12" t="n">
        <v>310</v>
      </c>
      <c r="E7" s="13" t="n">
        <v>86</v>
      </c>
      <c r="F7" s="7" t="n">
        <v>4</v>
      </c>
    </row>
    <row r="8" customFormat="false" ht="15" hidden="false" customHeight="false" outlineLevel="0" collapsed="false">
      <c r="A8" s="6" t="s">
        <v>57</v>
      </c>
      <c r="B8" s="6" t="s">
        <v>58</v>
      </c>
      <c r="C8" s="6" t="s">
        <v>56</v>
      </c>
      <c r="D8" s="12" t="n">
        <v>170</v>
      </c>
      <c r="E8" s="13" t="n">
        <v>46</v>
      </c>
      <c r="F8" s="7" t="n">
        <v>4</v>
      </c>
    </row>
    <row r="9" customFormat="false" ht="15" hidden="false" customHeight="false" outlineLevel="0" collapsed="false">
      <c r="A9" s="6" t="s">
        <v>59</v>
      </c>
      <c r="B9" s="6" t="s">
        <v>60</v>
      </c>
      <c r="C9" s="6" t="s">
        <v>56</v>
      </c>
      <c r="D9" s="12" t="n">
        <v>640</v>
      </c>
      <c r="E9" s="13" t="n">
        <v>91</v>
      </c>
      <c r="F9" s="7" t="n">
        <v>4</v>
      </c>
    </row>
    <row r="10" customFormat="false" ht="15" hidden="false" customHeight="false" outlineLevel="0" collapsed="false">
      <c r="A10" s="6" t="s">
        <v>61</v>
      </c>
      <c r="B10" s="6" t="s">
        <v>62</v>
      </c>
      <c r="C10" s="6" t="s">
        <v>56</v>
      </c>
      <c r="D10" s="12" t="n">
        <v>320</v>
      </c>
      <c r="E10" s="13" t="n">
        <v>97</v>
      </c>
      <c r="F10" s="7" t="n">
        <v>4</v>
      </c>
    </row>
    <row r="11" customFormat="false" ht="15" hidden="false" customHeight="false" outlineLevel="0" collapsed="false">
      <c r="A11" s="6" t="s">
        <v>63</v>
      </c>
      <c r="B11" s="6" t="s">
        <v>64</v>
      </c>
      <c r="C11" s="6" t="s">
        <v>56</v>
      </c>
      <c r="D11" s="12" t="n">
        <v>760</v>
      </c>
      <c r="E11" s="13" t="n">
        <v>21</v>
      </c>
      <c r="F11" s="7" t="n">
        <v>4</v>
      </c>
    </row>
    <row r="12" customFormat="false" ht="15" hidden="false" customHeight="false" outlineLevel="0" collapsed="false">
      <c r="A12" s="6" t="s">
        <v>65</v>
      </c>
      <c r="B12" s="6" t="s">
        <v>66</v>
      </c>
      <c r="C12" s="6" t="s">
        <v>67</v>
      </c>
      <c r="D12" s="12" t="n">
        <v>250</v>
      </c>
      <c r="E12" s="13" t="n">
        <v>66</v>
      </c>
      <c r="F12" s="7" t="n">
        <v>6</v>
      </c>
    </row>
    <row r="13" customFormat="false" ht="15" hidden="false" customHeight="false" outlineLevel="0" collapsed="false">
      <c r="A13" s="6" t="s">
        <v>68</v>
      </c>
      <c r="B13" s="6" t="s">
        <v>69</v>
      </c>
      <c r="C13" s="6" t="s">
        <v>67</v>
      </c>
      <c r="D13" s="12" t="n">
        <v>130</v>
      </c>
      <c r="E13" s="13" t="n">
        <v>22</v>
      </c>
      <c r="F13" s="7" t="n">
        <v>6</v>
      </c>
    </row>
    <row r="14" customFormat="false" ht="15" hidden="false" customHeight="false" outlineLevel="0" collapsed="false">
      <c r="A14" s="6" t="s">
        <v>70</v>
      </c>
      <c r="B14" s="6" t="s">
        <v>71</v>
      </c>
      <c r="C14" s="6" t="s">
        <v>67</v>
      </c>
      <c r="D14" s="12" t="n">
        <v>290</v>
      </c>
      <c r="E14" s="13" t="n">
        <v>37</v>
      </c>
      <c r="F14" s="7" t="n">
        <v>6</v>
      </c>
    </row>
    <row r="15" customFormat="false" ht="15" hidden="false" customHeight="false" outlineLevel="0" collapsed="false">
      <c r="A15" s="6" t="s">
        <v>72</v>
      </c>
      <c r="B15" s="6" t="s">
        <v>73</v>
      </c>
      <c r="C15" s="6" t="s">
        <v>67</v>
      </c>
      <c r="D15" s="12" t="n">
        <v>60</v>
      </c>
      <c r="E15" s="13" t="n">
        <v>18</v>
      </c>
      <c r="F15" s="7" t="n">
        <v>6</v>
      </c>
    </row>
    <row r="16" customFormat="false" ht="15" hidden="false" customHeight="false" outlineLevel="0" collapsed="false">
      <c r="A16" s="6" t="s">
        <v>74</v>
      </c>
      <c r="B16" s="6" t="s">
        <v>75</v>
      </c>
      <c r="C16" s="6" t="s">
        <v>76</v>
      </c>
      <c r="D16" s="12" t="n">
        <v>35</v>
      </c>
      <c r="E16" s="13" t="n">
        <v>3939</v>
      </c>
      <c r="F16" s="7" t="n">
        <v>3</v>
      </c>
    </row>
    <row r="17" customFormat="false" ht="15" hidden="false" customHeight="false" outlineLevel="0" collapsed="false">
      <c r="A17" s="6" t="s">
        <v>77</v>
      </c>
      <c r="B17" s="6" t="s">
        <v>78</v>
      </c>
      <c r="C17" s="6" t="s">
        <v>76</v>
      </c>
      <c r="D17" s="12" t="n">
        <v>33</v>
      </c>
      <c r="E17" s="13" t="n">
        <v>4595</v>
      </c>
      <c r="F17" s="7" t="n">
        <v>3</v>
      </c>
    </row>
    <row r="18" customFormat="false" ht="15" hidden="false" customHeight="false" outlineLevel="0" collapsed="false">
      <c r="A18" s="6" t="s">
        <v>79</v>
      </c>
      <c r="B18" s="6" t="s">
        <v>80</v>
      </c>
      <c r="C18" s="6" t="s">
        <v>76</v>
      </c>
      <c r="D18" s="12" t="n">
        <v>24</v>
      </c>
      <c r="E18" s="13" t="n">
        <v>5860</v>
      </c>
      <c r="F18" s="7" t="n">
        <v>3</v>
      </c>
    </row>
    <row r="19" customFormat="false" ht="15" hidden="false" customHeight="false" outlineLevel="0" collapsed="false">
      <c r="A19" s="6" t="s">
        <v>81</v>
      </c>
      <c r="B19" s="6" t="s">
        <v>82</v>
      </c>
      <c r="C19" s="6" t="s">
        <v>76</v>
      </c>
      <c r="D19" s="12" t="n">
        <v>18</v>
      </c>
      <c r="E19" s="13" t="n">
        <v>3671</v>
      </c>
      <c r="F19" s="7" t="n">
        <v>3</v>
      </c>
    </row>
    <row r="20" customFormat="false" ht="15" hidden="false" customHeight="false" outlineLevel="0" collapsed="false">
      <c r="A20" s="6" t="s">
        <v>83</v>
      </c>
      <c r="B20" s="6" t="s">
        <v>84</v>
      </c>
      <c r="C20" s="6" t="s">
        <v>85</v>
      </c>
      <c r="D20" s="12" t="n">
        <v>1710</v>
      </c>
      <c r="E20" s="13" t="n">
        <v>25.5</v>
      </c>
      <c r="F20" s="7" t="n">
        <v>3</v>
      </c>
    </row>
    <row r="21" customFormat="false" ht="15" hidden="false" customHeight="false" outlineLevel="0" collapsed="false">
      <c r="A21" s="6" t="s">
        <v>86</v>
      </c>
      <c r="B21" s="6" t="s">
        <v>87</v>
      </c>
      <c r="C21" s="6" t="s">
        <v>85</v>
      </c>
      <c r="D21" s="12" t="n">
        <v>1760</v>
      </c>
      <c r="E21" s="13" t="n">
        <v>23.9</v>
      </c>
      <c r="F21" s="7" t="n">
        <v>3</v>
      </c>
    </row>
    <row r="22" customFormat="false" ht="15" hidden="false" customHeight="false" outlineLevel="0" collapsed="false">
      <c r="A22" s="6" t="s">
        <v>88</v>
      </c>
      <c r="B22" s="6" t="s">
        <v>89</v>
      </c>
      <c r="C22" s="6" t="s">
        <v>85</v>
      </c>
      <c r="D22" s="12" t="n">
        <v>1500</v>
      </c>
      <c r="E22" s="13" t="n">
        <v>3.7</v>
      </c>
      <c r="F22" s="7" t="n">
        <v>3</v>
      </c>
    </row>
    <row r="23" customFormat="false" ht="15" hidden="false" customHeight="false" outlineLevel="0" collapsed="false">
      <c r="A23" s="6" t="s">
        <v>90</v>
      </c>
      <c r="B23" s="6" t="s">
        <v>91</v>
      </c>
      <c r="C23" s="6" t="s">
        <v>85</v>
      </c>
      <c r="D23" s="12" t="n">
        <v>690</v>
      </c>
      <c r="E23" s="13" t="n">
        <v>13</v>
      </c>
      <c r="F23" s="7" t="n">
        <v>3</v>
      </c>
    </row>
    <row r="24" customFormat="false" ht="15" hidden="false" customHeight="false" outlineLevel="0" collapsed="false">
      <c r="A24" s="6" t="s">
        <v>92</v>
      </c>
      <c r="B24" s="6" t="s">
        <v>93</v>
      </c>
      <c r="C24" s="6" t="s">
        <v>94</v>
      </c>
      <c r="D24" s="12" t="n">
        <v>700</v>
      </c>
      <c r="E24" s="13" t="n">
        <v>4.3</v>
      </c>
      <c r="F24" s="7" t="n">
        <v>4</v>
      </c>
    </row>
    <row r="25" customFormat="false" ht="15" hidden="false" customHeight="false" outlineLevel="0" collapsed="false">
      <c r="A25" s="6" t="s">
        <v>95</v>
      </c>
      <c r="B25" s="6" t="s">
        <v>96</v>
      </c>
      <c r="C25" s="6" t="s">
        <v>94</v>
      </c>
      <c r="D25" s="12" t="n">
        <v>750</v>
      </c>
      <c r="E25" s="13" t="n">
        <v>4.9</v>
      </c>
      <c r="F25" s="7" t="n">
        <v>4</v>
      </c>
    </row>
    <row r="26" customFormat="false" ht="15" hidden="false" customHeight="false" outlineLevel="0" collapsed="false">
      <c r="A26" s="6" t="s">
        <v>97</v>
      </c>
      <c r="B26" s="6" t="s">
        <v>98</v>
      </c>
      <c r="C26" s="6" t="s">
        <v>94</v>
      </c>
      <c r="D26" s="12" t="n">
        <v>2090</v>
      </c>
      <c r="E26" s="13" t="n">
        <v>6.1</v>
      </c>
      <c r="F26" s="7" t="n">
        <v>4</v>
      </c>
    </row>
  </sheetData>
  <dataValidations count="1">
    <dataValidation allowBlank="false" error="Policy 2 coverage must be between 3 and 6 months." errorStyle="stop" errorTitle="Out of range" operator="between" showDropDown="false" showErrorMessage="true" showInputMessage="false" sqref="F2:F26" type="decimal">
      <formula1>3</formula1>
      <formula2>6</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14"/>
    <col collapsed="false" customWidth="true" hidden="false" outlineLevel="0" max="3" min="3" style="0" width="26"/>
    <col collapsed="false" customWidth="true" hidden="false" outlineLevel="0" max="4" min="4" style="0" width="20"/>
    <col collapsed="false" customWidth="true" hidden="false" outlineLevel="0" max="5" min="5" style="0" width="16"/>
    <col collapsed="false" customWidth="true" hidden="false" outlineLevel="0" max="6" min="6" style="0" width="12"/>
    <col collapsed="false" customWidth="true" hidden="false" outlineLevel="0" max="10" min="7" style="0" width="10"/>
    <col collapsed="false" customWidth="true" hidden="false" outlineLevel="0" max="16" min="11" style="0" width="12"/>
    <col collapsed="false" customWidth="true" hidden="false" outlineLevel="0" max="17" min="17" style="0" width="13"/>
    <col collapsed="false" customWidth="true" hidden="false" outlineLevel="0" max="18" min="18" style="0" width="10"/>
    <col collapsed="false" customWidth="true" hidden="false" outlineLevel="0" max="21" min="19" style="0" width="16"/>
  </cols>
  <sheetData>
    <row r="1" customFormat="false" ht="54.75" hidden="false" customHeight="true" outlineLevel="0" collapsed="false">
      <c r="A1" s="5" t="s">
        <v>37</v>
      </c>
      <c r="B1" s="5" t="s">
        <v>99</v>
      </c>
      <c r="C1" s="5" t="s">
        <v>38</v>
      </c>
      <c r="D1" s="5" t="s">
        <v>39</v>
      </c>
      <c r="E1" s="5" t="s">
        <v>40</v>
      </c>
      <c r="F1" s="5" t="s">
        <v>100</v>
      </c>
      <c r="G1" s="5" t="s">
        <v>24</v>
      </c>
      <c r="H1" s="5" t="s">
        <v>26</v>
      </c>
      <c r="I1" s="5" t="s">
        <v>28</v>
      </c>
      <c r="J1" s="5" t="s">
        <v>30</v>
      </c>
      <c r="K1" s="5" t="s">
        <v>101</v>
      </c>
      <c r="L1" s="5" t="s">
        <v>102</v>
      </c>
      <c r="M1" s="5" t="s">
        <v>103</v>
      </c>
      <c r="N1" s="5" t="s">
        <v>104</v>
      </c>
      <c r="O1" s="5" t="s">
        <v>105</v>
      </c>
      <c r="P1" s="5" t="s">
        <v>106</v>
      </c>
      <c r="Q1" s="5" t="s">
        <v>107</v>
      </c>
      <c r="R1" s="5" t="s">
        <v>108</v>
      </c>
      <c r="S1" s="5" t="s">
        <v>109</v>
      </c>
      <c r="T1" s="5" t="s">
        <v>110</v>
      </c>
      <c r="U1" s="5" t="s">
        <v>111</v>
      </c>
    </row>
    <row r="2" customFormat="false" ht="15" hidden="false" customHeight="false" outlineLevel="0" collapsed="false">
      <c r="A2" s="6" t="s">
        <v>43</v>
      </c>
      <c r="B2" s="6" t="s">
        <v>112</v>
      </c>
      <c r="C2" s="14" t="str">
        <f aca="false">INDEX(Items!$B$2:$B$26,MATCH($A2,Items!$A$2:$A$26,0))</f>
        <v>Chronic Care Item 01</v>
      </c>
      <c r="D2" s="14" t="str">
        <f aca="false">INDEX(Items!$C$2:$C$26,MATCH($A2,Items!$A$2:$A$26,0))</f>
        <v>Chronic Care</v>
      </c>
      <c r="E2" s="15" t="n">
        <f aca="false">INDEX(Items!$D$2:$D$26,MATCH($A2,Items!$A$2:$A$26,0))</f>
        <v>840</v>
      </c>
      <c r="F2" s="16" t="n">
        <f aca="false">INDEX(Items!$E$2:$E$26,MATCH($A2,Items!$A$2:$A$26,0))</f>
        <v>18</v>
      </c>
      <c r="G2" s="17" t="n">
        <f aca="false">IF($B2="P1 Baseline",Parameters!$B$4,Parameters!$C$4)</f>
        <v>2</v>
      </c>
      <c r="H2" s="17" t="n">
        <f aca="false">IF($B2="P1 Baseline",Parameters!$B$5,Parameters!$C$5)</f>
        <v>2</v>
      </c>
      <c r="I2" s="9" t="n">
        <f aca="false">G2+H2</f>
        <v>4</v>
      </c>
      <c r="J2" s="17" t="n">
        <f aca="false">IF($B2="P1 Baseline",Parameters!$B$7,U2)</f>
        <v>6</v>
      </c>
      <c r="K2" s="18" t="n">
        <f aca="false">E2*H2</f>
        <v>1680</v>
      </c>
      <c r="L2" s="18" t="n">
        <f aca="false">E2*I2</f>
        <v>3360</v>
      </c>
      <c r="M2" s="18" t="n">
        <f aca="false">E2*J2</f>
        <v>5040</v>
      </c>
      <c r="N2" s="18" t="n">
        <f aca="false">E2*MAX(J2-I2,0)</f>
        <v>1680</v>
      </c>
      <c r="O2" s="18" t="n">
        <f aca="false">M2-E2*G2</f>
        <v>3360</v>
      </c>
      <c r="P2" s="18" t="n">
        <f aca="false">K2</f>
        <v>1680</v>
      </c>
      <c r="Q2" s="18" t="n">
        <f aca="false">(O2+P2)/2</f>
        <v>2520</v>
      </c>
      <c r="R2" s="17" t="n">
        <f aca="false">IF(N2&gt;0,Parameters!$B$9*E2/N2,0)</f>
        <v>6</v>
      </c>
      <c r="S2" s="18" t="n">
        <f aca="false">Q2*F2</f>
        <v>45360</v>
      </c>
      <c r="T2" s="15" t="n">
        <f aca="false">S2*Parameters!$B$8</f>
        <v>9072</v>
      </c>
      <c r="U2" s="17" t="n">
        <f aca="false">INDEX(Items!$F$2:$F$26,MATCH($A2,Items!$A$2:$A$26,0))</f>
        <v>3</v>
      </c>
    </row>
    <row r="3" customFormat="false" ht="15" hidden="false" customHeight="false" outlineLevel="0" collapsed="false">
      <c r="A3" s="6" t="s">
        <v>46</v>
      </c>
      <c r="B3" s="6" t="s">
        <v>112</v>
      </c>
      <c r="C3" s="14" t="str">
        <f aca="false">INDEX(Items!$B$2:$B$26,MATCH($A3,Items!$A$2:$A$26,0))</f>
        <v>Chronic Care Item 02</v>
      </c>
      <c r="D3" s="14" t="str">
        <f aca="false">INDEX(Items!$C$2:$C$26,MATCH($A3,Items!$A$2:$A$26,0))</f>
        <v>Chronic Care</v>
      </c>
      <c r="E3" s="15" t="n">
        <f aca="false">INDEX(Items!$D$2:$D$26,MATCH($A3,Items!$A$2:$A$26,0))</f>
        <v>480</v>
      </c>
      <c r="F3" s="16" t="n">
        <f aca="false">INDEX(Items!$E$2:$E$26,MATCH($A3,Items!$A$2:$A$26,0))</f>
        <v>38</v>
      </c>
      <c r="G3" s="17" t="n">
        <f aca="false">IF($B3="P1 Baseline",Parameters!$B$4,Parameters!$C$4)</f>
        <v>2</v>
      </c>
      <c r="H3" s="17" t="n">
        <f aca="false">IF($B3="P1 Baseline",Parameters!$B$5,Parameters!$C$5)</f>
        <v>2</v>
      </c>
      <c r="I3" s="9" t="n">
        <f aca="false">G3+H3</f>
        <v>4</v>
      </c>
      <c r="J3" s="17" t="n">
        <f aca="false">IF($B3="P1 Baseline",Parameters!$B$7,U3)</f>
        <v>6</v>
      </c>
      <c r="K3" s="18" t="n">
        <f aca="false">E3*H3</f>
        <v>960</v>
      </c>
      <c r="L3" s="18" t="n">
        <f aca="false">E3*I3</f>
        <v>1920</v>
      </c>
      <c r="M3" s="18" t="n">
        <f aca="false">E3*J3</f>
        <v>2880</v>
      </c>
      <c r="N3" s="18" t="n">
        <f aca="false">E3*MAX(J3-I3,0)</f>
        <v>960</v>
      </c>
      <c r="O3" s="18" t="n">
        <f aca="false">M3-E3*G3</f>
        <v>1920</v>
      </c>
      <c r="P3" s="18" t="n">
        <f aca="false">K3</f>
        <v>960</v>
      </c>
      <c r="Q3" s="18" t="n">
        <f aca="false">(O3+P3)/2</f>
        <v>1440</v>
      </c>
      <c r="R3" s="17" t="n">
        <f aca="false">IF(N3&gt;0,Parameters!$B$9*E3/N3,0)</f>
        <v>6</v>
      </c>
      <c r="S3" s="18" t="n">
        <f aca="false">Q3*F3</f>
        <v>54720</v>
      </c>
      <c r="T3" s="15" t="n">
        <f aca="false">S3*Parameters!$B$8</f>
        <v>10944</v>
      </c>
      <c r="U3" s="17" t="n">
        <f aca="false">INDEX(Items!$F$2:$F$26,MATCH($A3,Items!$A$2:$A$26,0))</f>
        <v>3</v>
      </c>
    </row>
    <row r="4" customFormat="false" ht="15" hidden="false" customHeight="false" outlineLevel="0" collapsed="false">
      <c r="A4" s="6" t="s">
        <v>48</v>
      </c>
      <c r="B4" s="6" t="s">
        <v>112</v>
      </c>
      <c r="C4" s="14" t="str">
        <f aca="false">INDEX(Items!$B$2:$B$26,MATCH($A4,Items!$A$2:$A$26,0))</f>
        <v>Chronic Care Item 03</v>
      </c>
      <c r="D4" s="14" t="str">
        <f aca="false">INDEX(Items!$C$2:$C$26,MATCH($A4,Items!$A$2:$A$26,0))</f>
        <v>Chronic Care</v>
      </c>
      <c r="E4" s="15" t="n">
        <f aca="false">INDEX(Items!$D$2:$D$26,MATCH($A4,Items!$A$2:$A$26,0))</f>
        <v>940</v>
      </c>
      <c r="F4" s="16" t="n">
        <f aca="false">INDEX(Items!$E$2:$E$26,MATCH($A4,Items!$A$2:$A$26,0))</f>
        <v>86</v>
      </c>
      <c r="G4" s="17" t="n">
        <f aca="false">IF($B4="P1 Baseline",Parameters!$B$4,Parameters!$C$4)</f>
        <v>2</v>
      </c>
      <c r="H4" s="17" t="n">
        <f aca="false">IF($B4="P1 Baseline",Parameters!$B$5,Parameters!$C$5)</f>
        <v>2</v>
      </c>
      <c r="I4" s="9" t="n">
        <f aca="false">G4+H4</f>
        <v>4</v>
      </c>
      <c r="J4" s="17" t="n">
        <f aca="false">IF($B4="P1 Baseline",Parameters!$B$7,U4)</f>
        <v>6</v>
      </c>
      <c r="K4" s="18" t="n">
        <f aca="false">E4*H4</f>
        <v>1880</v>
      </c>
      <c r="L4" s="18" t="n">
        <f aca="false">E4*I4</f>
        <v>3760</v>
      </c>
      <c r="M4" s="18" t="n">
        <f aca="false">E4*J4</f>
        <v>5640</v>
      </c>
      <c r="N4" s="18" t="n">
        <f aca="false">E4*MAX(J4-I4,0)</f>
        <v>1880</v>
      </c>
      <c r="O4" s="18" t="n">
        <f aca="false">M4-E4*G4</f>
        <v>3760</v>
      </c>
      <c r="P4" s="18" t="n">
        <f aca="false">K4</f>
        <v>1880</v>
      </c>
      <c r="Q4" s="18" t="n">
        <f aca="false">(O4+P4)/2</f>
        <v>2820</v>
      </c>
      <c r="R4" s="17" t="n">
        <f aca="false">IF(N4&gt;0,Parameters!$B$9*E4/N4,0)</f>
        <v>6</v>
      </c>
      <c r="S4" s="18" t="n">
        <f aca="false">Q4*F4</f>
        <v>242520</v>
      </c>
      <c r="T4" s="15" t="n">
        <f aca="false">S4*Parameters!$B$8</f>
        <v>48504</v>
      </c>
      <c r="U4" s="17" t="n">
        <f aca="false">INDEX(Items!$F$2:$F$26,MATCH($A4,Items!$A$2:$A$26,0))</f>
        <v>3</v>
      </c>
    </row>
    <row r="5" customFormat="false" ht="15" hidden="false" customHeight="false" outlineLevel="0" collapsed="false">
      <c r="A5" s="6" t="s">
        <v>50</v>
      </c>
      <c r="B5" s="6" t="s">
        <v>112</v>
      </c>
      <c r="C5" s="14" t="str">
        <f aca="false">INDEX(Items!$B$2:$B$26,MATCH($A5,Items!$A$2:$A$26,0))</f>
        <v>Chronic Care Item 04</v>
      </c>
      <c r="D5" s="14" t="str">
        <f aca="false">INDEX(Items!$C$2:$C$26,MATCH($A5,Items!$A$2:$A$26,0))</f>
        <v>Chronic Care</v>
      </c>
      <c r="E5" s="15" t="n">
        <f aca="false">INDEX(Items!$D$2:$D$26,MATCH($A5,Items!$A$2:$A$26,0))</f>
        <v>1090</v>
      </c>
      <c r="F5" s="16" t="n">
        <f aca="false">INDEX(Items!$E$2:$E$26,MATCH($A5,Items!$A$2:$A$26,0))</f>
        <v>24</v>
      </c>
      <c r="G5" s="17" t="n">
        <f aca="false">IF($B5="P1 Baseline",Parameters!$B$4,Parameters!$C$4)</f>
        <v>2</v>
      </c>
      <c r="H5" s="17" t="n">
        <f aca="false">IF($B5="P1 Baseline",Parameters!$B$5,Parameters!$C$5)</f>
        <v>2</v>
      </c>
      <c r="I5" s="9" t="n">
        <f aca="false">G5+H5</f>
        <v>4</v>
      </c>
      <c r="J5" s="17" t="n">
        <f aca="false">IF($B5="P1 Baseline",Parameters!$B$7,U5)</f>
        <v>6</v>
      </c>
      <c r="K5" s="18" t="n">
        <f aca="false">E5*H5</f>
        <v>2180</v>
      </c>
      <c r="L5" s="18" t="n">
        <f aca="false">E5*I5</f>
        <v>4360</v>
      </c>
      <c r="M5" s="18" t="n">
        <f aca="false">E5*J5</f>
        <v>6540</v>
      </c>
      <c r="N5" s="18" t="n">
        <f aca="false">E5*MAX(J5-I5,0)</f>
        <v>2180</v>
      </c>
      <c r="O5" s="18" t="n">
        <f aca="false">M5-E5*G5</f>
        <v>4360</v>
      </c>
      <c r="P5" s="18" t="n">
        <f aca="false">K5</f>
        <v>2180</v>
      </c>
      <c r="Q5" s="18" t="n">
        <f aca="false">(O5+P5)/2</f>
        <v>3270</v>
      </c>
      <c r="R5" s="17" t="n">
        <f aca="false">IF(N5&gt;0,Parameters!$B$9*E5/N5,0)</f>
        <v>6</v>
      </c>
      <c r="S5" s="18" t="n">
        <f aca="false">Q5*F5</f>
        <v>78480</v>
      </c>
      <c r="T5" s="15" t="n">
        <f aca="false">S5*Parameters!$B$8</f>
        <v>15696</v>
      </c>
      <c r="U5" s="17" t="n">
        <f aca="false">INDEX(Items!$F$2:$F$26,MATCH($A5,Items!$A$2:$A$26,0))</f>
        <v>3</v>
      </c>
    </row>
    <row r="6" customFormat="false" ht="15" hidden="false" customHeight="false" outlineLevel="0" collapsed="false">
      <c r="A6" s="6" t="s">
        <v>52</v>
      </c>
      <c r="B6" s="6" t="s">
        <v>112</v>
      </c>
      <c r="C6" s="14" t="str">
        <f aca="false">INDEX(Items!$B$2:$B$26,MATCH($A6,Items!$A$2:$A$26,0))</f>
        <v>Chronic Care Item 05</v>
      </c>
      <c r="D6" s="14" t="str">
        <f aca="false">INDEX(Items!$C$2:$C$26,MATCH($A6,Items!$A$2:$A$26,0))</f>
        <v>Chronic Care</v>
      </c>
      <c r="E6" s="15" t="n">
        <f aca="false">INDEX(Items!$D$2:$D$26,MATCH($A6,Items!$A$2:$A$26,0))</f>
        <v>620</v>
      </c>
      <c r="F6" s="16" t="n">
        <f aca="false">INDEX(Items!$E$2:$E$26,MATCH($A6,Items!$A$2:$A$26,0))</f>
        <v>18</v>
      </c>
      <c r="G6" s="17" t="n">
        <f aca="false">IF($B6="P1 Baseline",Parameters!$B$4,Parameters!$C$4)</f>
        <v>2</v>
      </c>
      <c r="H6" s="17" t="n">
        <f aca="false">IF($B6="P1 Baseline",Parameters!$B$5,Parameters!$C$5)</f>
        <v>2</v>
      </c>
      <c r="I6" s="9" t="n">
        <f aca="false">G6+H6</f>
        <v>4</v>
      </c>
      <c r="J6" s="17" t="n">
        <f aca="false">IF($B6="P1 Baseline",Parameters!$B$7,U6)</f>
        <v>6</v>
      </c>
      <c r="K6" s="18" t="n">
        <f aca="false">E6*H6</f>
        <v>1240</v>
      </c>
      <c r="L6" s="18" t="n">
        <f aca="false">E6*I6</f>
        <v>2480</v>
      </c>
      <c r="M6" s="18" t="n">
        <f aca="false">E6*J6</f>
        <v>3720</v>
      </c>
      <c r="N6" s="18" t="n">
        <f aca="false">E6*MAX(J6-I6,0)</f>
        <v>1240</v>
      </c>
      <c r="O6" s="18" t="n">
        <f aca="false">M6-E6*G6</f>
        <v>2480</v>
      </c>
      <c r="P6" s="18" t="n">
        <f aca="false">K6</f>
        <v>1240</v>
      </c>
      <c r="Q6" s="18" t="n">
        <f aca="false">(O6+P6)/2</f>
        <v>1860</v>
      </c>
      <c r="R6" s="17" t="n">
        <f aca="false">IF(N6&gt;0,Parameters!$B$9*E6/N6,0)</f>
        <v>6</v>
      </c>
      <c r="S6" s="18" t="n">
        <f aca="false">Q6*F6</f>
        <v>33480</v>
      </c>
      <c r="T6" s="15" t="n">
        <f aca="false">S6*Parameters!$B$8</f>
        <v>6696</v>
      </c>
      <c r="U6" s="17" t="n">
        <f aca="false">INDEX(Items!$F$2:$F$26,MATCH($A6,Items!$A$2:$A$26,0))</f>
        <v>3</v>
      </c>
    </row>
    <row r="7" customFormat="false" ht="15" hidden="false" customHeight="false" outlineLevel="0" collapsed="false">
      <c r="A7" s="6" t="s">
        <v>54</v>
      </c>
      <c r="B7" s="6" t="s">
        <v>112</v>
      </c>
      <c r="C7" s="14" t="str">
        <f aca="false">INDEX(Items!$B$2:$B$26,MATCH($A7,Items!$A$2:$A$26,0))</f>
        <v>Antibiotics Item 01</v>
      </c>
      <c r="D7" s="14" t="str">
        <f aca="false">INDEX(Items!$C$2:$C$26,MATCH($A7,Items!$A$2:$A$26,0))</f>
        <v>Antibiotics</v>
      </c>
      <c r="E7" s="15" t="n">
        <f aca="false">INDEX(Items!$D$2:$D$26,MATCH($A7,Items!$A$2:$A$26,0))</f>
        <v>310</v>
      </c>
      <c r="F7" s="16" t="n">
        <f aca="false">INDEX(Items!$E$2:$E$26,MATCH($A7,Items!$A$2:$A$26,0))</f>
        <v>86</v>
      </c>
      <c r="G7" s="17" t="n">
        <f aca="false">IF($B7="P1 Baseline",Parameters!$B$4,Parameters!$C$4)</f>
        <v>2</v>
      </c>
      <c r="H7" s="17" t="n">
        <f aca="false">IF($B7="P1 Baseline",Parameters!$B$5,Parameters!$C$5)</f>
        <v>2</v>
      </c>
      <c r="I7" s="9" t="n">
        <f aca="false">G7+H7</f>
        <v>4</v>
      </c>
      <c r="J7" s="17" t="n">
        <f aca="false">IF($B7="P1 Baseline",Parameters!$B$7,U7)</f>
        <v>6</v>
      </c>
      <c r="K7" s="18" t="n">
        <f aca="false">E7*H7</f>
        <v>620</v>
      </c>
      <c r="L7" s="18" t="n">
        <f aca="false">E7*I7</f>
        <v>1240</v>
      </c>
      <c r="M7" s="18" t="n">
        <f aca="false">E7*J7</f>
        <v>1860</v>
      </c>
      <c r="N7" s="18" t="n">
        <f aca="false">E7*MAX(J7-I7,0)</f>
        <v>620</v>
      </c>
      <c r="O7" s="18" t="n">
        <f aca="false">M7-E7*G7</f>
        <v>1240</v>
      </c>
      <c r="P7" s="18" t="n">
        <f aca="false">K7</f>
        <v>620</v>
      </c>
      <c r="Q7" s="18" t="n">
        <f aca="false">(O7+P7)/2</f>
        <v>930</v>
      </c>
      <c r="R7" s="17" t="n">
        <f aca="false">IF(N7&gt;0,Parameters!$B$9*E7/N7,0)</f>
        <v>6</v>
      </c>
      <c r="S7" s="18" t="n">
        <f aca="false">Q7*F7</f>
        <v>79980</v>
      </c>
      <c r="T7" s="15" t="n">
        <f aca="false">S7*Parameters!$B$8</f>
        <v>15996</v>
      </c>
      <c r="U7" s="17" t="n">
        <f aca="false">INDEX(Items!$F$2:$F$26,MATCH($A7,Items!$A$2:$A$26,0))</f>
        <v>4</v>
      </c>
    </row>
    <row r="8" customFormat="false" ht="15" hidden="false" customHeight="false" outlineLevel="0" collapsed="false">
      <c r="A8" s="6" t="s">
        <v>57</v>
      </c>
      <c r="B8" s="6" t="s">
        <v>112</v>
      </c>
      <c r="C8" s="14" t="str">
        <f aca="false">INDEX(Items!$B$2:$B$26,MATCH($A8,Items!$A$2:$A$26,0))</f>
        <v>Antibiotics Item 02</v>
      </c>
      <c r="D8" s="14" t="str">
        <f aca="false">INDEX(Items!$C$2:$C$26,MATCH($A8,Items!$A$2:$A$26,0))</f>
        <v>Antibiotics</v>
      </c>
      <c r="E8" s="15" t="n">
        <f aca="false">INDEX(Items!$D$2:$D$26,MATCH($A8,Items!$A$2:$A$26,0))</f>
        <v>170</v>
      </c>
      <c r="F8" s="16" t="n">
        <f aca="false">INDEX(Items!$E$2:$E$26,MATCH($A8,Items!$A$2:$A$26,0))</f>
        <v>46</v>
      </c>
      <c r="G8" s="17" t="n">
        <f aca="false">IF($B8="P1 Baseline",Parameters!$B$4,Parameters!$C$4)</f>
        <v>2</v>
      </c>
      <c r="H8" s="17" t="n">
        <f aca="false">IF($B8="P1 Baseline",Parameters!$B$5,Parameters!$C$5)</f>
        <v>2</v>
      </c>
      <c r="I8" s="9" t="n">
        <f aca="false">G8+H8</f>
        <v>4</v>
      </c>
      <c r="J8" s="17" t="n">
        <f aca="false">IF($B8="P1 Baseline",Parameters!$B$7,U8)</f>
        <v>6</v>
      </c>
      <c r="K8" s="18" t="n">
        <f aca="false">E8*H8</f>
        <v>340</v>
      </c>
      <c r="L8" s="18" t="n">
        <f aca="false">E8*I8</f>
        <v>680</v>
      </c>
      <c r="M8" s="18" t="n">
        <f aca="false">E8*J8</f>
        <v>1020</v>
      </c>
      <c r="N8" s="18" t="n">
        <f aca="false">E8*MAX(J8-I8,0)</f>
        <v>340</v>
      </c>
      <c r="O8" s="18" t="n">
        <f aca="false">M8-E8*G8</f>
        <v>680</v>
      </c>
      <c r="P8" s="18" t="n">
        <f aca="false">K8</f>
        <v>340</v>
      </c>
      <c r="Q8" s="18" t="n">
        <f aca="false">(O8+P8)/2</f>
        <v>510</v>
      </c>
      <c r="R8" s="17" t="n">
        <f aca="false">IF(N8&gt;0,Parameters!$B$9*E8/N8,0)</f>
        <v>6</v>
      </c>
      <c r="S8" s="18" t="n">
        <f aca="false">Q8*F8</f>
        <v>23460</v>
      </c>
      <c r="T8" s="15" t="n">
        <f aca="false">S8*Parameters!$B$8</f>
        <v>4692</v>
      </c>
      <c r="U8" s="17" t="n">
        <f aca="false">INDEX(Items!$F$2:$F$26,MATCH($A8,Items!$A$2:$A$26,0))</f>
        <v>4</v>
      </c>
    </row>
    <row r="9" customFormat="false" ht="15" hidden="false" customHeight="false" outlineLevel="0" collapsed="false">
      <c r="A9" s="6" t="s">
        <v>59</v>
      </c>
      <c r="B9" s="6" t="s">
        <v>112</v>
      </c>
      <c r="C9" s="14" t="str">
        <f aca="false">INDEX(Items!$B$2:$B$26,MATCH($A9,Items!$A$2:$A$26,0))</f>
        <v>Antibiotics Item 03</v>
      </c>
      <c r="D9" s="14" t="str">
        <f aca="false">INDEX(Items!$C$2:$C$26,MATCH($A9,Items!$A$2:$A$26,0))</f>
        <v>Antibiotics</v>
      </c>
      <c r="E9" s="15" t="n">
        <f aca="false">INDEX(Items!$D$2:$D$26,MATCH($A9,Items!$A$2:$A$26,0))</f>
        <v>640</v>
      </c>
      <c r="F9" s="16" t="n">
        <f aca="false">INDEX(Items!$E$2:$E$26,MATCH($A9,Items!$A$2:$A$26,0))</f>
        <v>91</v>
      </c>
      <c r="G9" s="17" t="n">
        <f aca="false">IF($B9="P1 Baseline",Parameters!$B$4,Parameters!$C$4)</f>
        <v>2</v>
      </c>
      <c r="H9" s="17" t="n">
        <f aca="false">IF($B9="P1 Baseline",Parameters!$B$5,Parameters!$C$5)</f>
        <v>2</v>
      </c>
      <c r="I9" s="9" t="n">
        <f aca="false">G9+H9</f>
        <v>4</v>
      </c>
      <c r="J9" s="17" t="n">
        <f aca="false">IF($B9="P1 Baseline",Parameters!$B$7,U9)</f>
        <v>6</v>
      </c>
      <c r="K9" s="18" t="n">
        <f aca="false">E9*H9</f>
        <v>1280</v>
      </c>
      <c r="L9" s="18" t="n">
        <f aca="false">E9*I9</f>
        <v>2560</v>
      </c>
      <c r="M9" s="18" t="n">
        <f aca="false">E9*J9</f>
        <v>3840</v>
      </c>
      <c r="N9" s="18" t="n">
        <f aca="false">E9*MAX(J9-I9,0)</f>
        <v>1280</v>
      </c>
      <c r="O9" s="18" t="n">
        <f aca="false">M9-E9*G9</f>
        <v>2560</v>
      </c>
      <c r="P9" s="18" t="n">
        <f aca="false">K9</f>
        <v>1280</v>
      </c>
      <c r="Q9" s="18" t="n">
        <f aca="false">(O9+P9)/2</f>
        <v>1920</v>
      </c>
      <c r="R9" s="17" t="n">
        <f aca="false">IF(N9&gt;0,Parameters!$B$9*E9/N9,0)</f>
        <v>6</v>
      </c>
      <c r="S9" s="18" t="n">
        <f aca="false">Q9*F9</f>
        <v>174720</v>
      </c>
      <c r="T9" s="15" t="n">
        <f aca="false">S9*Parameters!$B$8</f>
        <v>34944</v>
      </c>
      <c r="U9" s="17" t="n">
        <f aca="false">INDEX(Items!$F$2:$F$26,MATCH($A9,Items!$A$2:$A$26,0))</f>
        <v>4</v>
      </c>
    </row>
    <row r="10" customFormat="false" ht="15" hidden="false" customHeight="false" outlineLevel="0" collapsed="false">
      <c r="A10" s="6" t="s">
        <v>61</v>
      </c>
      <c r="B10" s="6" t="s">
        <v>112</v>
      </c>
      <c r="C10" s="14" t="str">
        <f aca="false">INDEX(Items!$B$2:$B$26,MATCH($A10,Items!$A$2:$A$26,0))</f>
        <v>Antibiotics Item 04</v>
      </c>
      <c r="D10" s="14" t="str">
        <f aca="false">INDEX(Items!$C$2:$C$26,MATCH($A10,Items!$A$2:$A$26,0))</f>
        <v>Antibiotics</v>
      </c>
      <c r="E10" s="15" t="n">
        <f aca="false">INDEX(Items!$D$2:$D$26,MATCH($A10,Items!$A$2:$A$26,0))</f>
        <v>320</v>
      </c>
      <c r="F10" s="16" t="n">
        <f aca="false">INDEX(Items!$E$2:$E$26,MATCH($A10,Items!$A$2:$A$26,0))</f>
        <v>97</v>
      </c>
      <c r="G10" s="17" t="n">
        <f aca="false">IF($B10="P1 Baseline",Parameters!$B$4,Parameters!$C$4)</f>
        <v>2</v>
      </c>
      <c r="H10" s="17" t="n">
        <f aca="false">IF($B10="P1 Baseline",Parameters!$B$5,Parameters!$C$5)</f>
        <v>2</v>
      </c>
      <c r="I10" s="9" t="n">
        <f aca="false">G10+H10</f>
        <v>4</v>
      </c>
      <c r="J10" s="17" t="n">
        <f aca="false">IF($B10="P1 Baseline",Parameters!$B$7,U10)</f>
        <v>6</v>
      </c>
      <c r="K10" s="18" t="n">
        <f aca="false">E10*H10</f>
        <v>640</v>
      </c>
      <c r="L10" s="18" t="n">
        <f aca="false">E10*I10</f>
        <v>1280</v>
      </c>
      <c r="M10" s="18" t="n">
        <f aca="false">E10*J10</f>
        <v>1920</v>
      </c>
      <c r="N10" s="18" t="n">
        <f aca="false">E10*MAX(J10-I10,0)</f>
        <v>640</v>
      </c>
      <c r="O10" s="18" t="n">
        <f aca="false">M10-E10*G10</f>
        <v>1280</v>
      </c>
      <c r="P10" s="18" t="n">
        <f aca="false">K10</f>
        <v>640</v>
      </c>
      <c r="Q10" s="18" t="n">
        <f aca="false">(O10+P10)/2</f>
        <v>960</v>
      </c>
      <c r="R10" s="17" t="n">
        <f aca="false">IF(N10&gt;0,Parameters!$B$9*E10/N10,0)</f>
        <v>6</v>
      </c>
      <c r="S10" s="18" t="n">
        <f aca="false">Q10*F10</f>
        <v>93120</v>
      </c>
      <c r="T10" s="15" t="n">
        <f aca="false">S10*Parameters!$B$8</f>
        <v>18624</v>
      </c>
      <c r="U10" s="17" t="n">
        <f aca="false">INDEX(Items!$F$2:$F$26,MATCH($A10,Items!$A$2:$A$26,0))</f>
        <v>4</v>
      </c>
    </row>
    <row r="11" customFormat="false" ht="15" hidden="false" customHeight="false" outlineLevel="0" collapsed="false">
      <c r="A11" s="6" t="s">
        <v>63</v>
      </c>
      <c r="B11" s="6" t="s">
        <v>112</v>
      </c>
      <c r="C11" s="14" t="str">
        <f aca="false">INDEX(Items!$B$2:$B$26,MATCH($A11,Items!$A$2:$A$26,0))</f>
        <v>Antibiotics Item 05</v>
      </c>
      <c r="D11" s="14" t="str">
        <f aca="false">INDEX(Items!$C$2:$C$26,MATCH($A11,Items!$A$2:$A$26,0))</f>
        <v>Antibiotics</v>
      </c>
      <c r="E11" s="15" t="n">
        <f aca="false">INDEX(Items!$D$2:$D$26,MATCH($A11,Items!$A$2:$A$26,0))</f>
        <v>760</v>
      </c>
      <c r="F11" s="16" t="n">
        <f aca="false">INDEX(Items!$E$2:$E$26,MATCH($A11,Items!$A$2:$A$26,0))</f>
        <v>21</v>
      </c>
      <c r="G11" s="17" t="n">
        <f aca="false">IF($B11="P1 Baseline",Parameters!$B$4,Parameters!$C$4)</f>
        <v>2</v>
      </c>
      <c r="H11" s="17" t="n">
        <f aca="false">IF($B11="P1 Baseline",Parameters!$B$5,Parameters!$C$5)</f>
        <v>2</v>
      </c>
      <c r="I11" s="9" t="n">
        <f aca="false">G11+H11</f>
        <v>4</v>
      </c>
      <c r="J11" s="17" t="n">
        <f aca="false">IF($B11="P1 Baseline",Parameters!$B$7,U11)</f>
        <v>6</v>
      </c>
      <c r="K11" s="18" t="n">
        <f aca="false">E11*H11</f>
        <v>1520</v>
      </c>
      <c r="L11" s="18" t="n">
        <f aca="false">E11*I11</f>
        <v>3040</v>
      </c>
      <c r="M11" s="18" t="n">
        <f aca="false">E11*J11</f>
        <v>4560</v>
      </c>
      <c r="N11" s="18" t="n">
        <f aca="false">E11*MAX(J11-I11,0)</f>
        <v>1520</v>
      </c>
      <c r="O11" s="18" t="n">
        <f aca="false">M11-E11*G11</f>
        <v>3040</v>
      </c>
      <c r="P11" s="18" t="n">
        <f aca="false">K11</f>
        <v>1520</v>
      </c>
      <c r="Q11" s="18" t="n">
        <f aca="false">(O11+P11)/2</f>
        <v>2280</v>
      </c>
      <c r="R11" s="17" t="n">
        <f aca="false">IF(N11&gt;0,Parameters!$B$9*E11/N11,0)</f>
        <v>6</v>
      </c>
      <c r="S11" s="18" t="n">
        <f aca="false">Q11*F11</f>
        <v>47880</v>
      </c>
      <c r="T11" s="15" t="n">
        <f aca="false">S11*Parameters!$B$8</f>
        <v>9576</v>
      </c>
      <c r="U11" s="17" t="n">
        <f aca="false">INDEX(Items!$F$2:$F$26,MATCH($A11,Items!$A$2:$A$26,0))</f>
        <v>4</v>
      </c>
    </row>
    <row r="12" customFormat="false" ht="15" hidden="false" customHeight="false" outlineLevel="0" collapsed="false">
      <c r="A12" s="6" t="s">
        <v>65</v>
      </c>
      <c r="B12" s="6" t="s">
        <v>112</v>
      </c>
      <c r="C12" s="14" t="str">
        <f aca="false">INDEX(Items!$B$2:$B$26,MATCH($A12,Items!$A$2:$A$26,0))</f>
        <v>Emergency Item 01</v>
      </c>
      <c r="D12" s="14" t="str">
        <f aca="false">INDEX(Items!$C$2:$C$26,MATCH($A12,Items!$A$2:$A$26,0))</f>
        <v>Emergency</v>
      </c>
      <c r="E12" s="15" t="n">
        <f aca="false">INDEX(Items!$D$2:$D$26,MATCH($A12,Items!$A$2:$A$26,0))</f>
        <v>250</v>
      </c>
      <c r="F12" s="16" t="n">
        <f aca="false">INDEX(Items!$E$2:$E$26,MATCH($A12,Items!$A$2:$A$26,0))</f>
        <v>66</v>
      </c>
      <c r="G12" s="17" t="n">
        <f aca="false">IF($B12="P1 Baseline",Parameters!$B$4,Parameters!$C$4)</f>
        <v>2</v>
      </c>
      <c r="H12" s="17" t="n">
        <f aca="false">IF($B12="P1 Baseline",Parameters!$B$5,Parameters!$C$5)</f>
        <v>2</v>
      </c>
      <c r="I12" s="9" t="n">
        <f aca="false">G12+H12</f>
        <v>4</v>
      </c>
      <c r="J12" s="17" t="n">
        <f aca="false">IF($B12="P1 Baseline",Parameters!$B$7,U12)</f>
        <v>6</v>
      </c>
      <c r="K12" s="18" t="n">
        <f aca="false">E12*H12</f>
        <v>500</v>
      </c>
      <c r="L12" s="18" t="n">
        <f aca="false">E12*I12</f>
        <v>1000</v>
      </c>
      <c r="M12" s="18" t="n">
        <f aca="false">E12*J12</f>
        <v>1500</v>
      </c>
      <c r="N12" s="18" t="n">
        <f aca="false">E12*MAX(J12-I12,0)</f>
        <v>500</v>
      </c>
      <c r="O12" s="18" t="n">
        <f aca="false">M12-E12*G12</f>
        <v>1000</v>
      </c>
      <c r="P12" s="18" t="n">
        <f aca="false">K12</f>
        <v>500</v>
      </c>
      <c r="Q12" s="18" t="n">
        <f aca="false">(O12+P12)/2</f>
        <v>750</v>
      </c>
      <c r="R12" s="17" t="n">
        <f aca="false">IF(N12&gt;0,Parameters!$B$9*E12/N12,0)</f>
        <v>6</v>
      </c>
      <c r="S12" s="18" t="n">
        <f aca="false">Q12*F12</f>
        <v>49500</v>
      </c>
      <c r="T12" s="15" t="n">
        <f aca="false">S12*Parameters!$B$8</f>
        <v>9900</v>
      </c>
      <c r="U12" s="17" t="n">
        <f aca="false">INDEX(Items!$F$2:$F$26,MATCH($A12,Items!$A$2:$A$26,0))</f>
        <v>6</v>
      </c>
    </row>
    <row r="13" customFormat="false" ht="15" hidden="false" customHeight="false" outlineLevel="0" collapsed="false">
      <c r="A13" s="6" t="s">
        <v>68</v>
      </c>
      <c r="B13" s="6" t="s">
        <v>112</v>
      </c>
      <c r="C13" s="14" t="str">
        <f aca="false">INDEX(Items!$B$2:$B$26,MATCH($A13,Items!$A$2:$A$26,0))</f>
        <v>Emergency Item 02</v>
      </c>
      <c r="D13" s="14" t="str">
        <f aca="false">INDEX(Items!$C$2:$C$26,MATCH($A13,Items!$A$2:$A$26,0))</f>
        <v>Emergency</v>
      </c>
      <c r="E13" s="15" t="n">
        <f aca="false">INDEX(Items!$D$2:$D$26,MATCH($A13,Items!$A$2:$A$26,0))</f>
        <v>130</v>
      </c>
      <c r="F13" s="16" t="n">
        <f aca="false">INDEX(Items!$E$2:$E$26,MATCH($A13,Items!$A$2:$A$26,0))</f>
        <v>22</v>
      </c>
      <c r="G13" s="17" t="n">
        <f aca="false">IF($B13="P1 Baseline",Parameters!$B$4,Parameters!$C$4)</f>
        <v>2</v>
      </c>
      <c r="H13" s="17" t="n">
        <f aca="false">IF($B13="P1 Baseline",Parameters!$B$5,Parameters!$C$5)</f>
        <v>2</v>
      </c>
      <c r="I13" s="9" t="n">
        <f aca="false">G13+H13</f>
        <v>4</v>
      </c>
      <c r="J13" s="17" t="n">
        <f aca="false">IF($B13="P1 Baseline",Parameters!$B$7,U13)</f>
        <v>6</v>
      </c>
      <c r="K13" s="18" t="n">
        <f aca="false">E13*H13</f>
        <v>260</v>
      </c>
      <c r="L13" s="18" t="n">
        <f aca="false">E13*I13</f>
        <v>520</v>
      </c>
      <c r="M13" s="18" t="n">
        <f aca="false">E13*J13</f>
        <v>780</v>
      </c>
      <c r="N13" s="18" t="n">
        <f aca="false">E13*MAX(J13-I13,0)</f>
        <v>260</v>
      </c>
      <c r="O13" s="18" t="n">
        <f aca="false">M13-E13*G13</f>
        <v>520</v>
      </c>
      <c r="P13" s="18" t="n">
        <f aca="false">K13</f>
        <v>260</v>
      </c>
      <c r="Q13" s="18" t="n">
        <f aca="false">(O13+P13)/2</f>
        <v>390</v>
      </c>
      <c r="R13" s="17" t="n">
        <f aca="false">IF(N13&gt;0,Parameters!$B$9*E13/N13,0)</f>
        <v>6</v>
      </c>
      <c r="S13" s="18" t="n">
        <f aca="false">Q13*F13</f>
        <v>8580</v>
      </c>
      <c r="T13" s="15" t="n">
        <f aca="false">S13*Parameters!$B$8</f>
        <v>1716</v>
      </c>
      <c r="U13" s="17" t="n">
        <f aca="false">INDEX(Items!$F$2:$F$26,MATCH($A13,Items!$A$2:$A$26,0))</f>
        <v>6</v>
      </c>
    </row>
    <row r="14" customFormat="false" ht="15" hidden="false" customHeight="false" outlineLevel="0" collapsed="false">
      <c r="A14" s="6" t="s">
        <v>70</v>
      </c>
      <c r="B14" s="6" t="s">
        <v>112</v>
      </c>
      <c r="C14" s="14" t="str">
        <f aca="false">INDEX(Items!$B$2:$B$26,MATCH($A14,Items!$A$2:$A$26,0))</f>
        <v>Emergency Item 03</v>
      </c>
      <c r="D14" s="14" t="str">
        <f aca="false">INDEX(Items!$C$2:$C$26,MATCH($A14,Items!$A$2:$A$26,0))</f>
        <v>Emergency</v>
      </c>
      <c r="E14" s="15" t="n">
        <f aca="false">INDEX(Items!$D$2:$D$26,MATCH($A14,Items!$A$2:$A$26,0))</f>
        <v>290</v>
      </c>
      <c r="F14" s="16" t="n">
        <f aca="false">INDEX(Items!$E$2:$E$26,MATCH($A14,Items!$A$2:$A$26,0))</f>
        <v>37</v>
      </c>
      <c r="G14" s="17" t="n">
        <f aca="false">IF($B14="P1 Baseline",Parameters!$B$4,Parameters!$C$4)</f>
        <v>2</v>
      </c>
      <c r="H14" s="17" t="n">
        <f aca="false">IF($B14="P1 Baseline",Parameters!$B$5,Parameters!$C$5)</f>
        <v>2</v>
      </c>
      <c r="I14" s="9" t="n">
        <f aca="false">G14+H14</f>
        <v>4</v>
      </c>
      <c r="J14" s="17" t="n">
        <f aca="false">IF($B14="P1 Baseline",Parameters!$B$7,U14)</f>
        <v>6</v>
      </c>
      <c r="K14" s="18" t="n">
        <f aca="false">E14*H14</f>
        <v>580</v>
      </c>
      <c r="L14" s="18" t="n">
        <f aca="false">E14*I14</f>
        <v>1160</v>
      </c>
      <c r="M14" s="18" t="n">
        <f aca="false">E14*J14</f>
        <v>1740</v>
      </c>
      <c r="N14" s="18" t="n">
        <f aca="false">E14*MAX(J14-I14,0)</f>
        <v>580</v>
      </c>
      <c r="O14" s="18" t="n">
        <f aca="false">M14-E14*G14</f>
        <v>1160</v>
      </c>
      <c r="P14" s="18" t="n">
        <f aca="false">K14</f>
        <v>580</v>
      </c>
      <c r="Q14" s="18" t="n">
        <f aca="false">(O14+P14)/2</f>
        <v>870</v>
      </c>
      <c r="R14" s="17" t="n">
        <f aca="false">IF(N14&gt;0,Parameters!$B$9*E14/N14,0)</f>
        <v>6</v>
      </c>
      <c r="S14" s="18" t="n">
        <f aca="false">Q14*F14</f>
        <v>32190</v>
      </c>
      <c r="T14" s="15" t="n">
        <f aca="false">S14*Parameters!$B$8</f>
        <v>6438</v>
      </c>
      <c r="U14" s="17" t="n">
        <f aca="false">INDEX(Items!$F$2:$F$26,MATCH($A14,Items!$A$2:$A$26,0))</f>
        <v>6</v>
      </c>
    </row>
    <row r="15" customFormat="false" ht="15" hidden="false" customHeight="false" outlineLevel="0" collapsed="false">
      <c r="A15" s="6" t="s">
        <v>72</v>
      </c>
      <c r="B15" s="6" t="s">
        <v>112</v>
      </c>
      <c r="C15" s="14" t="str">
        <f aca="false">INDEX(Items!$B$2:$B$26,MATCH($A15,Items!$A$2:$A$26,0))</f>
        <v>Emergency Item 04</v>
      </c>
      <c r="D15" s="14" t="str">
        <f aca="false">INDEX(Items!$C$2:$C$26,MATCH($A15,Items!$A$2:$A$26,0))</f>
        <v>Emergency</v>
      </c>
      <c r="E15" s="15" t="n">
        <f aca="false">INDEX(Items!$D$2:$D$26,MATCH($A15,Items!$A$2:$A$26,0))</f>
        <v>60</v>
      </c>
      <c r="F15" s="16" t="n">
        <f aca="false">INDEX(Items!$E$2:$E$26,MATCH($A15,Items!$A$2:$A$26,0))</f>
        <v>18</v>
      </c>
      <c r="G15" s="17" t="n">
        <f aca="false">IF($B15="P1 Baseline",Parameters!$B$4,Parameters!$C$4)</f>
        <v>2</v>
      </c>
      <c r="H15" s="17" t="n">
        <f aca="false">IF($B15="P1 Baseline",Parameters!$B$5,Parameters!$C$5)</f>
        <v>2</v>
      </c>
      <c r="I15" s="9" t="n">
        <f aca="false">G15+H15</f>
        <v>4</v>
      </c>
      <c r="J15" s="17" t="n">
        <f aca="false">IF($B15="P1 Baseline",Parameters!$B$7,U15)</f>
        <v>6</v>
      </c>
      <c r="K15" s="18" t="n">
        <f aca="false">E15*H15</f>
        <v>120</v>
      </c>
      <c r="L15" s="18" t="n">
        <f aca="false">E15*I15</f>
        <v>240</v>
      </c>
      <c r="M15" s="18" t="n">
        <f aca="false">E15*J15</f>
        <v>360</v>
      </c>
      <c r="N15" s="18" t="n">
        <f aca="false">E15*MAX(J15-I15,0)</f>
        <v>120</v>
      </c>
      <c r="O15" s="18" t="n">
        <f aca="false">M15-E15*G15</f>
        <v>240</v>
      </c>
      <c r="P15" s="18" t="n">
        <f aca="false">K15</f>
        <v>120</v>
      </c>
      <c r="Q15" s="18" t="n">
        <f aca="false">(O15+P15)/2</f>
        <v>180</v>
      </c>
      <c r="R15" s="17" t="n">
        <f aca="false">IF(N15&gt;0,Parameters!$B$9*E15/N15,0)</f>
        <v>6</v>
      </c>
      <c r="S15" s="18" t="n">
        <f aca="false">Q15*F15</f>
        <v>3240</v>
      </c>
      <c r="T15" s="15" t="n">
        <f aca="false">S15*Parameters!$B$8</f>
        <v>648</v>
      </c>
      <c r="U15" s="17" t="n">
        <f aca="false">INDEX(Items!$F$2:$F$26,MATCH($A15,Items!$A$2:$A$26,0))</f>
        <v>6</v>
      </c>
    </row>
    <row r="16" customFormat="false" ht="15" hidden="false" customHeight="false" outlineLevel="0" collapsed="false">
      <c r="A16" s="6" t="s">
        <v>74</v>
      </c>
      <c r="B16" s="6" t="s">
        <v>112</v>
      </c>
      <c r="C16" s="14" t="str">
        <f aca="false">INDEX(Items!$B$2:$B$26,MATCH($A16,Items!$A$2:$A$26,0))</f>
        <v>Specialty High-Cost Item 01</v>
      </c>
      <c r="D16" s="14" t="str">
        <f aca="false">INDEX(Items!$C$2:$C$26,MATCH($A16,Items!$A$2:$A$26,0))</f>
        <v>Specialty High-Cost</v>
      </c>
      <c r="E16" s="15" t="n">
        <f aca="false">INDEX(Items!$D$2:$D$26,MATCH($A16,Items!$A$2:$A$26,0))</f>
        <v>35</v>
      </c>
      <c r="F16" s="16" t="n">
        <f aca="false">INDEX(Items!$E$2:$E$26,MATCH($A16,Items!$A$2:$A$26,0))</f>
        <v>3939</v>
      </c>
      <c r="G16" s="17" t="n">
        <f aca="false">IF($B16="P1 Baseline",Parameters!$B$4,Parameters!$C$4)</f>
        <v>2</v>
      </c>
      <c r="H16" s="17" t="n">
        <f aca="false">IF($B16="P1 Baseline",Parameters!$B$5,Parameters!$C$5)</f>
        <v>2</v>
      </c>
      <c r="I16" s="9" t="n">
        <f aca="false">G16+H16</f>
        <v>4</v>
      </c>
      <c r="J16" s="17" t="n">
        <f aca="false">IF($B16="P1 Baseline",Parameters!$B$7,U16)</f>
        <v>6</v>
      </c>
      <c r="K16" s="18" t="n">
        <f aca="false">E16*H16</f>
        <v>70</v>
      </c>
      <c r="L16" s="18" t="n">
        <f aca="false">E16*I16</f>
        <v>140</v>
      </c>
      <c r="M16" s="18" t="n">
        <f aca="false">E16*J16</f>
        <v>210</v>
      </c>
      <c r="N16" s="18" t="n">
        <f aca="false">E16*MAX(J16-I16,0)</f>
        <v>70</v>
      </c>
      <c r="O16" s="18" t="n">
        <f aca="false">M16-E16*G16</f>
        <v>140</v>
      </c>
      <c r="P16" s="18" t="n">
        <f aca="false">K16</f>
        <v>70</v>
      </c>
      <c r="Q16" s="18" t="n">
        <f aca="false">(O16+P16)/2</f>
        <v>105</v>
      </c>
      <c r="R16" s="17" t="n">
        <f aca="false">IF(N16&gt;0,Parameters!$B$9*E16/N16,0)</f>
        <v>6</v>
      </c>
      <c r="S16" s="18" t="n">
        <f aca="false">Q16*F16</f>
        <v>413595</v>
      </c>
      <c r="T16" s="15" t="n">
        <f aca="false">S16*Parameters!$B$8</f>
        <v>82719</v>
      </c>
      <c r="U16" s="17" t="n">
        <f aca="false">INDEX(Items!$F$2:$F$26,MATCH($A16,Items!$A$2:$A$26,0))</f>
        <v>3</v>
      </c>
    </row>
    <row r="17" customFormat="false" ht="15" hidden="false" customHeight="false" outlineLevel="0" collapsed="false">
      <c r="A17" s="6" t="s">
        <v>77</v>
      </c>
      <c r="B17" s="6" t="s">
        <v>112</v>
      </c>
      <c r="C17" s="14" t="str">
        <f aca="false">INDEX(Items!$B$2:$B$26,MATCH($A17,Items!$A$2:$A$26,0))</f>
        <v>Specialty High-Cost Item 02</v>
      </c>
      <c r="D17" s="14" t="str">
        <f aca="false">INDEX(Items!$C$2:$C$26,MATCH($A17,Items!$A$2:$A$26,0))</f>
        <v>Specialty High-Cost</v>
      </c>
      <c r="E17" s="15" t="n">
        <f aca="false">INDEX(Items!$D$2:$D$26,MATCH($A17,Items!$A$2:$A$26,0))</f>
        <v>33</v>
      </c>
      <c r="F17" s="16" t="n">
        <f aca="false">INDEX(Items!$E$2:$E$26,MATCH($A17,Items!$A$2:$A$26,0))</f>
        <v>4595</v>
      </c>
      <c r="G17" s="17" t="n">
        <f aca="false">IF($B17="P1 Baseline",Parameters!$B$4,Parameters!$C$4)</f>
        <v>2</v>
      </c>
      <c r="H17" s="17" t="n">
        <f aca="false">IF($B17="P1 Baseline",Parameters!$B$5,Parameters!$C$5)</f>
        <v>2</v>
      </c>
      <c r="I17" s="9" t="n">
        <f aca="false">G17+H17</f>
        <v>4</v>
      </c>
      <c r="J17" s="17" t="n">
        <f aca="false">IF($B17="P1 Baseline",Parameters!$B$7,U17)</f>
        <v>6</v>
      </c>
      <c r="K17" s="18" t="n">
        <f aca="false">E17*H17</f>
        <v>66</v>
      </c>
      <c r="L17" s="18" t="n">
        <f aca="false">E17*I17</f>
        <v>132</v>
      </c>
      <c r="M17" s="18" t="n">
        <f aca="false">E17*J17</f>
        <v>198</v>
      </c>
      <c r="N17" s="18" t="n">
        <f aca="false">E17*MAX(J17-I17,0)</f>
        <v>66</v>
      </c>
      <c r="O17" s="18" t="n">
        <f aca="false">M17-E17*G17</f>
        <v>132</v>
      </c>
      <c r="P17" s="18" t="n">
        <f aca="false">K17</f>
        <v>66</v>
      </c>
      <c r="Q17" s="18" t="n">
        <f aca="false">(O17+P17)/2</f>
        <v>99</v>
      </c>
      <c r="R17" s="17" t="n">
        <f aca="false">IF(N17&gt;0,Parameters!$B$9*E17/N17,0)</f>
        <v>6</v>
      </c>
      <c r="S17" s="18" t="n">
        <f aca="false">Q17*F17</f>
        <v>454905</v>
      </c>
      <c r="T17" s="15" t="n">
        <f aca="false">S17*Parameters!$B$8</f>
        <v>90981</v>
      </c>
      <c r="U17" s="17" t="n">
        <f aca="false">INDEX(Items!$F$2:$F$26,MATCH($A17,Items!$A$2:$A$26,0))</f>
        <v>3</v>
      </c>
    </row>
    <row r="18" customFormat="false" ht="15" hidden="false" customHeight="false" outlineLevel="0" collapsed="false">
      <c r="A18" s="6" t="s">
        <v>79</v>
      </c>
      <c r="B18" s="6" t="s">
        <v>112</v>
      </c>
      <c r="C18" s="14" t="str">
        <f aca="false">INDEX(Items!$B$2:$B$26,MATCH($A18,Items!$A$2:$A$26,0))</f>
        <v>Specialty High-Cost Item 03</v>
      </c>
      <c r="D18" s="14" t="str">
        <f aca="false">INDEX(Items!$C$2:$C$26,MATCH($A18,Items!$A$2:$A$26,0))</f>
        <v>Specialty High-Cost</v>
      </c>
      <c r="E18" s="15" t="n">
        <f aca="false">INDEX(Items!$D$2:$D$26,MATCH($A18,Items!$A$2:$A$26,0))</f>
        <v>24</v>
      </c>
      <c r="F18" s="16" t="n">
        <f aca="false">INDEX(Items!$E$2:$E$26,MATCH($A18,Items!$A$2:$A$26,0))</f>
        <v>5860</v>
      </c>
      <c r="G18" s="17" t="n">
        <f aca="false">IF($B18="P1 Baseline",Parameters!$B$4,Parameters!$C$4)</f>
        <v>2</v>
      </c>
      <c r="H18" s="17" t="n">
        <f aca="false">IF($B18="P1 Baseline",Parameters!$B$5,Parameters!$C$5)</f>
        <v>2</v>
      </c>
      <c r="I18" s="9" t="n">
        <f aca="false">G18+H18</f>
        <v>4</v>
      </c>
      <c r="J18" s="17" t="n">
        <f aca="false">IF($B18="P1 Baseline",Parameters!$B$7,U18)</f>
        <v>6</v>
      </c>
      <c r="K18" s="18" t="n">
        <f aca="false">E18*H18</f>
        <v>48</v>
      </c>
      <c r="L18" s="18" t="n">
        <f aca="false">E18*I18</f>
        <v>96</v>
      </c>
      <c r="M18" s="18" t="n">
        <f aca="false">E18*J18</f>
        <v>144</v>
      </c>
      <c r="N18" s="18" t="n">
        <f aca="false">E18*MAX(J18-I18,0)</f>
        <v>48</v>
      </c>
      <c r="O18" s="18" t="n">
        <f aca="false">M18-E18*G18</f>
        <v>96</v>
      </c>
      <c r="P18" s="18" t="n">
        <f aca="false">K18</f>
        <v>48</v>
      </c>
      <c r="Q18" s="18" t="n">
        <f aca="false">(O18+P18)/2</f>
        <v>72</v>
      </c>
      <c r="R18" s="17" t="n">
        <f aca="false">IF(N18&gt;0,Parameters!$B$9*E18/N18,0)</f>
        <v>6</v>
      </c>
      <c r="S18" s="18" t="n">
        <f aca="false">Q18*F18</f>
        <v>421920</v>
      </c>
      <c r="T18" s="15" t="n">
        <f aca="false">S18*Parameters!$B$8</f>
        <v>84384</v>
      </c>
      <c r="U18" s="17" t="n">
        <f aca="false">INDEX(Items!$F$2:$F$26,MATCH($A18,Items!$A$2:$A$26,0))</f>
        <v>3</v>
      </c>
    </row>
    <row r="19" customFormat="false" ht="15" hidden="false" customHeight="false" outlineLevel="0" collapsed="false">
      <c r="A19" s="6" t="s">
        <v>81</v>
      </c>
      <c r="B19" s="6" t="s">
        <v>112</v>
      </c>
      <c r="C19" s="14" t="str">
        <f aca="false">INDEX(Items!$B$2:$B$26,MATCH($A19,Items!$A$2:$A$26,0))</f>
        <v>Specialty High-Cost Item 04</v>
      </c>
      <c r="D19" s="14" t="str">
        <f aca="false">INDEX(Items!$C$2:$C$26,MATCH($A19,Items!$A$2:$A$26,0))</f>
        <v>Specialty High-Cost</v>
      </c>
      <c r="E19" s="15" t="n">
        <f aca="false">INDEX(Items!$D$2:$D$26,MATCH($A19,Items!$A$2:$A$26,0))</f>
        <v>18</v>
      </c>
      <c r="F19" s="16" t="n">
        <f aca="false">INDEX(Items!$E$2:$E$26,MATCH($A19,Items!$A$2:$A$26,0))</f>
        <v>3671</v>
      </c>
      <c r="G19" s="17" t="n">
        <f aca="false">IF($B19="P1 Baseline",Parameters!$B$4,Parameters!$C$4)</f>
        <v>2</v>
      </c>
      <c r="H19" s="17" t="n">
        <f aca="false">IF($B19="P1 Baseline",Parameters!$B$5,Parameters!$C$5)</f>
        <v>2</v>
      </c>
      <c r="I19" s="9" t="n">
        <f aca="false">G19+H19</f>
        <v>4</v>
      </c>
      <c r="J19" s="17" t="n">
        <f aca="false">IF($B19="P1 Baseline",Parameters!$B$7,U19)</f>
        <v>6</v>
      </c>
      <c r="K19" s="18" t="n">
        <f aca="false">E19*H19</f>
        <v>36</v>
      </c>
      <c r="L19" s="18" t="n">
        <f aca="false">E19*I19</f>
        <v>72</v>
      </c>
      <c r="M19" s="18" t="n">
        <f aca="false">E19*J19</f>
        <v>108</v>
      </c>
      <c r="N19" s="18" t="n">
        <f aca="false">E19*MAX(J19-I19,0)</f>
        <v>36</v>
      </c>
      <c r="O19" s="18" t="n">
        <f aca="false">M19-E19*G19</f>
        <v>72</v>
      </c>
      <c r="P19" s="18" t="n">
        <f aca="false">K19</f>
        <v>36</v>
      </c>
      <c r="Q19" s="18" t="n">
        <f aca="false">(O19+P19)/2</f>
        <v>54</v>
      </c>
      <c r="R19" s="17" t="n">
        <f aca="false">IF(N19&gt;0,Parameters!$B$9*E19/N19,0)</f>
        <v>6</v>
      </c>
      <c r="S19" s="18" t="n">
        <f aca="false">Q19*F19</f>
        <v>198234</v>
      </c>
      <c r="T19" s="15" t="n">
        <f aca="false">S19*Parameters!$B$8</f>
        <v>39646.8</v>
      </c>
      <c r="U19" s="17" t="n">
        <f aca="false">INDEX(Items!$F$2:$F$26,MATCH($A19,Items!$A$2:$A$26,0))</f>
        <v>3</v>
      </c>
    </row>
    <row r="20" customFormat="false" ht="15" hidden="false" customHeight="false" outlineLevel="0" collapsed="false">
      <c r="A20" s="6" t="s">
        <v>83</v>
      </c>
      <c r="B20" s="6" t="s">
        <v>112</v>
      </c>
      <c r="C20" s="14" t="str">
        <f aca="false">INDEX(Items!$B$2:$B$26,MATCH($A20,Items!$A$2:$A$26,0))</f>
        <v>Lab Consumables Item 01</v>
      </c>
      <c r="D20" s="14" t="str">
        <f aca="false">INDEX(Items!$C$2:$C$26,MATCH($A20,Items!$A$2:$A$26,0))</f>
        <v>Lab Consumables</v>
      </c>
      <c r="E20" s="15" t="n">
        <f aca="false">INDEX(Items!$D$2:$D$26,MATCH($A20,Items!$A$2:$A$26,0))</f>
        <v>1710</v>
      </c>
      <c r="F20" s="16" t="n">
        <f aca="false">INDEX(Items!$E$2:$E$26,MATCH($A20,Items!$A$2:$A$26,0))</f>
        <v>25.5</v>
      </c>
      <c r="G20" s="17" t="n">
        <f aca="false">IF($B20="P1 Baseline",Parameters!$B$4,Parameters!$C$4)</f>
        <v>2</v>
      </c>
      <c r="H20" s="17" t="n">
        <f aca="false">IF($B20="P1 Baseline",Parameters!$B$5,Parameters!$C$5)</f>
        <v>2</v>
      </c>
      <c r="I20" s="9" t="n">
        <f aca="false">G20+H20</f>
        <v>4</v>
      </c>
      <c r="J20" s="17" t="n">
        <f aca="false">IF($B20="P1 Baseline",Parameters!$B$7,U20)</f>
        <v>6</v>
      </c>
      <c r="K20" s="18" t="n">
        <f aca="false">E20*H20</f>
        <v>3420</v>
      </c>
      <c r="L20" s="18" t="n">
        <f aca="false">E20*I20</f>
        <v>6840</v>
      </c>
      <c r="M20" s="18" t="n">
        <f aca="false">E20*J20</f>
        <v>10260</v>
      </c>
      <c r="N20" s="18" t="n">
        <f aca="false">E20*MAX(J20-I20,0)</f>
        <v>3420</v>
      </c>
      <c r="O20" s="18" t="n">
        <f aca="false">M20-E20*G20</f>
        <v>6840</v>
      </c>
      <c r="P20" s="18" t="n">
        <f aca="false">K20</f>
        <v>3420</v>
      </c>
      <c r="Q20" s="18" t="n">
        <f aca="false">(O20+P20)/2</f>
        <v>5130</v>
      </c>
      <c r="R20" s="17" t="n">
        <f aca="false">IF(N20&gt;0,Parameters!$B$9*E20/N20,0)</f>
        <v>6</v>
      </c>
      <c r="S20" s="18" t="n">
        <f aca="false">Q20*F20</f>
        <v>130815</v>
      </c>
      <c r="T20" s="15" t="n">
        <f aca="false">S20*Parameters!$B$8</f>
        <v>26163</v>
      </c>
      <c r="U20" s="17" t="n">
        <f aca="false">INDEX(Items!$F$2:$F$26,MATCH($A20,Items!$A$2:$A$26,0))</f>
        <v>3</v>
      </c>
    </row>
    <row r="21" customFormat="false" ht="15" hidden="false" customHeight="false" outlineLevel="0" collapsed="false">
      <c r="A21" s="6" t="s">
        <v>86</v>
      </c>
      <c r="B21" s="6" t="s">
        <v>112</v>
      </c>
      <c r="C21" s="14" t="str">
        <f aca="false">INDEX(Items!$B$2:$B$26,MATCH($A21,Items!$A$2:$A$26,0))</f>
        <v>Lab Consumables Item 02</v>
      </c>
      <c r="D21" s="14" t="str">
        <f aca="false">INDEX(Items!$C$2:$C$26,MATCH($A21,Items!$A$2:$A$26,0))</f>
        <v>Lab Consumables</v>
      </c>
      <c r="E21" s="15" t="n">
        <f aca="false">INDEX(Items!$D$2:$D$26,MATCH($A21,Items!$A$2:$A$26,0))</f>
        <v>1760</v>
      </c>
      <c r="F21" s="16" t="n">
        <f aca="false">INDEX(Items!$E$2:$E$26,MATCH($A21,Items!$A$2:$A$26,0))</f>
        <v>23.9</v>
      </c>
      <c r="G21" s="17" t="n">
        <f aca="false">IF($B21="P1 Baseline",Parameters!$B$4,Parameters!$C$4)</f>
        <v>2</v>
      </c>
      <c r="H21" s="17" t="n">
        <f aca="false">IF($B21="P1 Baseline",Parameters!$B$5,Parameters!$C$5)</f>
        <v>2</v>
      </c>
      <c r="I21" s="9" t="n">
        <f aca="false">G21+H21</f>
        <v>4</v>
      </c>
      <c r="J21" s="17" t="n">
        <f aca="false">IF($B21="P1 Baseline",Parameters!$B$7,U21)</f>
        <v>6</v>
      </c>
      <c r="K21" s="18" t="n">
        <f aca="false">E21*H21</f>
        <v>3520</v>
      </c>
      <c r="L21" s="18" t="n">
        <f aca="false">E21*I21</f>
        <v>7040</v>
      </c>
      <c r="M21" s="18" t="n">
        <f aca="false">E21*J21</f>
        <v>10560</v>
      </c>
      <c r="N21" s="18" t="n">
        <f aca="false">E21*MAX(J21-I21,0)</f>
        <v>3520</v>
      </c>
      <c r="O21" s="18" t="n">
        <f aca="false">M21-E21*G21</f>
        <v>7040</v>
      </c>
      <c r="P21" s="18" t="n">
        <f aca="false">K21</f>
        <v>3520</v>
      </c>
      <c r="Q21" s="18" t="n">
        <f aca="false">(O21+P21)/2</f>
        <v>5280</v>
      </c>
      <c r="R21" s="17" t="n">
        <f aca="false">IF(N21&gt;0,Parameters!$B$9*E21/N21,0)</f>
        <v>6</v>
      </c>
      <c r="S21" s="18" t="n">
        <f aca="false">Q21*F21</f>
        <v>126192</v>
      </c>
      <c r="T21" s="15" t="n">
        <f aca="false">S21*Parameters!$B$8</f>
        <v>25238.4</v>
      </c>
      <c r="U21" s="17" t="n">
        <f aca="false">INDEX(Items!$F$2:$F$26,MATCH($A21,Items!$A$2:$A$26,0))</f>
        <v>3</v>
      </c>
    </row>
    <row r="22" customFormat="false" ht="15" hidden="false" customHeight="false" outlineLevel="0" collapsed="false">
      <c r="A22" s="6" t="s">
        <v>88</v>
      </c>
      <c r="B22" s="6" t="s">
        <v>112</v>
      </c>
      <c r="C22" s="14" t="str">
        <f aca="false">INDEX(Items!$B$2:$B$26,MATCH($A22,Items!$A$2:$A$26,0))</f>
        <v>Lab Consumables Item 03</v>
      </c>
      <c r="D22" s="14" t="str">
        <f aca="false">INDEX(Items!$C$2:$C$26,MATCH($A22,Items!$A$2:$A$26,0))</f>
        <v>Lab Consumables</v>
      </c>
      <c r="E22" s="15" t="n">
        <f aca="false">INDEX(Items!$D$2:$D$26,MATCH($A22,Items!$A$2:$A$26,0))</f>
        <v>1500</v>
      </c>
      <c r="F22" s="16" t="n">
        <f aca="false">INDEX(Items!$E$2:$E$26,MATCH($A22,Items!$A$2:$A$26,0))</f>
        <v>3.7</v>
      </c>
      <c r="G22" s="17" t="n">
        <f aca="false">IF($B22="P1 Baseline",Parameters!$B$4,Parameters!$C$4)</f>
        <v>2</v>
      </c>
      <c r="H22" s="17" t="n">
        <f aca="false">IF($B22="P1 Baseline",Parameters!$B$5,Parameters!$C$5)</f>
        <v>2</v>
      </c>
      <c r="I22" s="9" t="n">
        <f aca="false">G22+H22</f>
        <v>4</v>
      </c>
      <c r="J22" s="17" t="n">
        <f aca="false">IF($B22="P1 Baseline",Parameters!$B$7,U22)</f>
        <v>6</v>
      </c>
      <c r="K22" s="18" t="n">
        <f aca="false">E22*H22</f>
        <v>3000</v>
      </c>
      <c r="L22" s="18" t="n">
        <f aca="false">E22*I22</f>
        <v>6000</v>
      </c>
      <c r="M22" s="18" t="n">
        <f aca="false">E22*J22</f>
        <v>9000</v>
      </c>
      <c r="N22" s="18" t="n">
        <f aca="false">E22*MAX(J22-I22,0)</f>
        <v>3000</v>
      </c>
      <c r="O22" s="18" t="n">
        <f aca="false">M22-E22*G22</f>
        <v>6000</v>
      </c>
      <c r="P22" s="18" t="n">
        <f aca="false">K22</f>
        <v>3000</v>
      </c>
      <c r="Q22" s="18" t="n">
        <f aca="false">(O22+P22)/2</f>
        <v>4500</v>
      </c>
      <c r="R22" s="17" t="n">
        <f aca="false">IF(N22&gt;0,Parameters!$B$9*E22/N22,0)</f>
        <v>6</v>
      </c>
      <c r="S22" s="18" t="n">
        <f aca="false">Q22*F22</f>
        <v>16650</v>
      </c>
      <c r="T22" s="15" t="n">
        <f aca="false">S22*Parameters!$B$8</f>
        <v>3330</v>
      </c>
      <c r="U22" s="17" t="n">
        <f aca="false">INDEX(Items!$F$2:$F$26,MATCH($A22,Items!$A$2:$A$26,0))</f>
        <v>3</v>
      </c>
    </row>
    <row r="23" customFormat="false" ht="15" hidden="false" customHeight="false" outlineLevel="0" collapsed="false">
      <c r="A23" s="6" t="s">
        <v>90</v>
      </c>
      <c r="B23" s="6" t="s">
        <v>112</v>
      </c>
      <c r="C23" s="14" t="str">
        <f aca="false">INDEX(Items!$B$2:$B$26,MATCH($A23,Items!$A$2:$A$26,0))</f>
        <v>Lab Consumables Item 04</v>
      </c>
      <c r="D23" s="14" t="str">
        <f aca="false">INDEX(Items!$C$2:$C$26,MATCH($A23,Items!$A$2:$A$26,0))</f>
        <v>Lab Consumables</v>
      </c>
      <c r="E23" s="15" t="n">
        <f aca="false">INDEX(Items!$D$2:$D$26,MATCH($A23,Items!$A$2:$A$26,0))</f>
        <v>690</v>
      </c>
      <c r="F23" s="16" t="n">
        <f aca="false">INDEX(Items!$E$2:$E$26,MATCH($A23,Items!$A$2:$A$26,0))</f>
        <v>13</v>
      </c>
      <c r="G23" s="17" t="n">
        <f aca="false">IF($B23="P1 Baseline",Parameters!$B$4,Parameters!$C$4)</f>
        <v>2</v>
      </c>
      <c r="H23" s="17" t="n">
        <f aca="false">IF($B23="P1 Baseline",Parameters!$B$5,Parameters!$C$5)</f>
        <v>2</v>
      </c>
      <c r="I23" s="9" t="n">
        <f aca="false">G23+H23</f>
        <v>4</v>
      </c>
      <c r="J23" s="17" t="n">
        <f aca="false">IF($B23="P1 Baseline",Parameters!$B$7,U23)</f>
        <v>6</v>
      </c>
      <c r="K23" s="18" t="n">
        <f aca="false">E23*H23</f>
        <v>1380</v>
      </c>
      <c r="L23" s="18" t="n">
        <f aca="false">E23*I23</f>
        <v>2760</v>
      </c>
      <c r="M23" s="18" t="n">
        <f aca="false">E23*J23</f>
        <v>4140</v>
      </c>
      <c r="N23" s="18" t="n">
        <f aca="false">E23*MAX(J23-I23,0)</f>
        <v>1380</v>
      </c>
      <c r="O23" s="18" t="n">
        <f aca="false">M23-E23*G23</f>
        <v>2760</v>
      </c>
      <c r="P23" s="18" t="n">
        <f aca="false">K23</f>
        <v>1380</v>
      </c>
      <c r="Q23" s="18" t="n">
        <f aca="false">(O23+P23)/2</f>
        <v>2070</v>
      </c>
      <c r="R23" s="17" t="n">
        <f aca="false">IF(N23&gt;0,Parameters!$B$9*E23/N23,0)</f>
        <v>6</v>
      </c>
      <c r="S23" s="18" t="n">
        <f aca="false">Q23*F23</f>
        <v>26910</v>
      </c>
      <c r="T23" s="15" t="n">
        <f aca="false">S23*Parameters!$B$8</f>
        <v>5382</v>
      </c>
      <c r="U23" s="17" t="n">
        <f aca="false">INDEX(Items!$F$2:$F$26,MATCH($A23,Items!$A$2:$A$26,0))</f>
        <v>3</v>
      </c>
    </row>
    <row r="24" customFormat="false" ht="15" hidden="false" customHeight="false" outlineLevel="0" collapsed="false">
      <c r="A24" s="6" t="s">
        <v>92</v>
      </c>
      <c r="B24" s="6" t="s">
        <v>112</v>
      </c>
      <c r="C24" s="14" t="str">
        <f aca="false">INDEX(Items!$B$2:$B$26,MATCH($A24,Items!$A$2:$A$26,0))</f>
        <v>General Consumables Item 01</v>
      </c>
      <c r="D24" s="14" t="str">
        <f aca="false">INDEX(Items!$C$2:$C$26,MATCH($A24,Items!$A$2:$A$26,0))</f>
        <v>General Consumables</v>
      </c>
      <c r="E24" s="15" t="n">
        <f aca="false">INDEX(Items!$D$2:$D$26,MATCH($A24,Items!$A$2:$A$26,0))</f>
        <v>700</v>
      </c>
      <c r="F24" s="16" t="n">
        <f aca="false">INDEX(Items!$E$2:$E$26,MATCH($A24,Items!$A$2:$A$26,0))</f>
        <v>4.3</v>
      </c>
      <c r="G24" s="17" t="n">
        <f aca="false">IF($B24="P1 Baseline",Parameters!$B$4,Parameters!$C$4)</f>
        <v>2</v>
      </c>
      <c r="H24" s="17" t="n">
        <f aca="false">IF($B24="P1 Baseline",Parameters!$B$5,Parameters!$C$5)</f>
        <v>2</v>
      </c>
      <c r="I24" s="9" t="n">
        <f aca="false">G24+H24</f>
        <v>4</v>
      </c>
      <c r="J24" s="17" t="n">
        <f aca="false">IF($B24="P1 Baseline",Parameters!$B$7,U24)</f>
        <v>6</v>
      </c>
      <c r="K24" s="18" t="n">
        <f aca="false">E24*H24</f>
        <v>1400</v>
      </c>
      <c r="L24" s="18" t="n">
        <f aca="false">E24*I24</f>
        <v>2800</v>
      </c>
      <c r="M24" s="18" t="n">
        <f aca="false">E24*J24</f>
        <v>4200</v>
      </c>
      <c r="N24" s="18" t="n">
        <f aca="false">E24*MAX(J24-I24,0)</f>
        <v>1400</v>
      </c>
      <c r="O24" s="18" t="n">
        <f aca="false">M24-E24*G24</f>
        <v>2800</v>
      </c>
      <c r="P24" s="18" t="n">
        <f aca="false">K24</f>
        <v>1400</v>
      </c>
      <c r="Q24" s="18" t="n">
        <f aca="false">(O24+P24)/2</f>
        <v>2100</v>
      </c>
      <c r="R24" s="17" t="n">
        <f aca="false">IF(N24&gt;0,Parameters!$B$9*E24/N24,0)</f>
        <v>6</v>
      </c>
      <c r="S24" s="18" t="n">
        <f aca="false">Q24*F24</f>
        <v>9030</v>
      </c>
      <c r="T24" s="15" t="n">
        <f aca="false">S24*Parameters!$B$8</f>
        <v>1806</v>
      </c>
      <c r="U24" s="17" t="n">
        <f aca="false">INDEX(Items!$F$2:$F$26,MATCH($A24,Items!$A$2:$A$26,0))</f>
        <v>4</v>
      </c>
    </row>
    <row r="25" customFormat="false" ht="15" hidden="false" customHeight="false" outlineLevel="0" collapsed="false">
      <c r="A25" s="6" t="s">
        <v>95</v>
      </c>
      <c r="B25" s="6" t="s">
        <v>112</v>
      </c>
      <c r="C25" s="14" t="str">
        <f aca="false">INDEX(Items!$B$2:$B$26,MATCH($A25,Items!$A$2:$A$26,0))</f>
        <v>General Consumables Item 02</v>
      </c>
      <c r="D25" s="14" t="str">
        <f aca="false">INDEX(Items!$C$2:$C$26,MATCH($A25,Items!$A$2:$A$26,0))</f>
        <v>General Consumables</v>
      </c>
      <c r="E25" s="15" t="n">
        <f aca="false">INDEX(Items!$D$2:$D$26,MATCH($A25,Items!$A$2:$A$26,0))</f>
        <v>750</v>
      </c>
      <c r="F25" s="16" t="n">
        <f aca="false">INDEX(Items!$E$2:$E$26,MATCH($A25,Items!$A$2:$A$26,0))</f>
        <v>4.9</v>
      </c>
      <c r="G25" s="17" t="n">
        <f aca="false">IF($B25="P1 Baseline",Parameters!$B$4,Parameters!$C$4)</f>
        <v>2</v>
      </c>
      <c r="H25" s="17" t="n">
        <f aca="false">IF($B25="P1 Baseline",Parameters!$B$5,Parameters!$C$5)</f>
        <v>2</v>
      </c>
      <c r="I25" s="9" t="n">
        <f aca="false">G25+H25</f>
        <v>4</v>
      </c>
      <c r="J25" s="17" t="n">
        <f aca="false">IF($B25="P1 Baseline",Parameters!$B$7,U25)</f>
        <v>6</v>
      </c>
      <c r="K25" s="18" t="n">
        <f aca="false">E25*H25</f>
        <v>1500</v>
      </c>
      <c r="L25" s="18" t="n">
        <f aca="false">E25*I25</f>
        <v>3000</v>
      </c>
      <c r="M25" s="18" t="n">
        <f aca="false">E25*J25</f>
        <v>4500</v>
      </c>
      <c r="N25" s="18" t="n">
        <f aca="false">E25*MAX(J25-I25,0)</f>
        <v>1500</v>
      </c>
      <c r="O25" s="18" t="n">
        <f aca="false">M25-E25*G25</f>
        <v>3000</v>
      </c>
      <c r="P25" s="18" t="n">
        <f aca="false">K25</f>
        <v>1500</v>
      </c>
      <c r="Q25" s="18" t="n">
        <f aca="false">(O25+P25)/2</f>
        <v>2250</v>
      </c>
      <c r="R25" s="17" t="n">
        <f aca="false">IF(N25&gt;0,Parameters!$B$9*E25/N25,0)</f>
        <v>6</v>
      </c>
      <c r="S25" s="18" t="n">
        <f aca="false">Q25*F25</f>
        <v>11025</v>
      </c>
      <c r="T25" s="15" t="n">
        <f aca="false">S25*Parameters!$B$8</f>
        <v>2205</v>
      </c>
      <c r="U25" s="17" t="n">
        <f aca="false">INDEX(Items!$F$2:$F$26,MATCH($A25,Items!$A$2:$A$26,0))</f>
        <v>4</v>
      </c>
    </row>
    <row r="26" customFormat="false" ht="15" hidden="false" customHeight="false" outlineLevel="0" collapsed="false">
      <c r="A26" s="6" t="s">
        <v>97</v>
      </c>
      <c r="B26" s="6" t="s">
        <v>112</v>
      </c>
      <c r="C26" s="14" t="str">
        <f aca="false">INDEX(Items!$B$2:$B$26,MATCH($A26,Items!$A$2:$A$26,0))</f>
        <v>General Consumables Item 03</v>
      </c>
      <c r="D26" s="14" t="str">
        <f aca="false">INDEX(Items!$C$2:$C$26,MATCH($A26,Items!$A$2:$A$26,0))</f>
        <v>General Consumables</v>
      </c>
      <c r="E26" s="15" t="n">
        <f aca="false">INDEX(Items!$D$2:$D$26,MATCH($A26,Items!$A$2:$A$26,0))</f>
        <v>2090</v>
      </c>
      <c r="F26" s="16" t="n">
        <f aca="false">INDEX(Items!$E$2:$E$26,MATCH($A26,Items!$A$2:$A$26,0))</f>
        <v>6.1</v>
      </c>
      <c r="G26" s="17" t="n">
        <f aca="false">IF($B26="P1 Baseline",Parameters!$B$4,Parameters!$C$4)</f>
        <v>2</v>
      </c>
      <c r="H26" s="17" t="n">
        <f aca="false">IF($B26="P1 Baseline",Parameters!$B$5,Parameters!$C$5)</f>
        <v>2</v>
      </c>
      <c r="I26" s="9" t="n">
        <f aca="false">G26+H26</f>
        <v>4</v>
      </c>
      <c r="J26" s="17" t="n">
        <f aca="false">IF($B26="P1 Baseline",Parameters!$B$7,U26)</f>
        <v>6</v>
      </c>
      <c r="K26" s="18" t="n">
        <f aca="false">E26*H26</f>
        <v>4180</v>
      </c>
      <c r="L26" s="18" t="n">
        <f aca="false">E26*I26</f>
        <v>8360</v>
      </c>
      <c r="M26" s="18" t="n">
        <f aca="false">E26*J26</f>
        <v>12540</v>
      </c>
      <c r="N26" s="18" t="n">
        <f aca="false">E26*MAX(J26-I26,0)</f>
        <v>4180</v>
      </c>
      <c r="O26" s="18" t="n">
        <f aca="false">M26-E26*G26</f>
        <v>8360</v>
      </c>
      <c r="P26" s="18" t="n">
        <f aca="false">K26</f>
        <v>4180</v>
      </c>
      <c r="Q26" s="18" t="n">
        <f aca="false">(O26+P26)/2</f>
        <v>6270</v>
      </c>
      <c r="R26" s="17" t="n">
        <f aca="false">IF(N26&gt;0,Parameters!$B$9*E26/N26,0)</f>
        <v>6</v>
      </c>
      <c r="S26" s="18" t="n">
        <f aca="false">Q26*F26</f>
        <v>38247</v>
      </c>
      <c r="T26" s="15" t="n">
        <f aca="false">S26*Parameters!$B$8</f>
        <v>7649.4</v>
      </c>
      <c r="U26" s="17" t="n">
        <f aca="false">INDEX(Items!$F$2:$F$26,MATCH($A26,Items!$A$2:$A$26,0))</f>
        <v>4</v>
      </c>
    </row>
    <row r="27" customFormat="false" ht="15" hidden="false" customHeight="false" outlineLevel="0" collapsed="false">
      <c r="A27" s="6" t="s">
        <v>43</v>
      </c>
      <c r="B27" s="6" t="s">
        <v>113</v>
      </c>
      <c r="C27" s="14" t="str">
        <f aca="false">INDEX(Items!$B$2:$B$26,MATCH($A27,Items!$A$2:$A$26,0))</f>
        <v>Chronic Care Item 01</v>
      </c>
      <c r="D27" s="14" t="str">
        <f aca="false">INDEX(Items!$C$2:$C$26,MATCH($A27,Items!$A$2:$A$26,0))</f>
        <v>Chronic Care</v>
      </c>
      <c r="E27" s="15" t="n">
        <f aca="false">INDEX(Items!$D$2:$D$26,MATCH($A27,Items!$A$2:$A$26,0))</f>
        <v>840</v>
      </c>
      <c r="F27" s="16" t="n">
        <f aca="false">INDEX(Items!$E$2:$E$26,MATCH($A27,Items!$A$2:$A$26,0))</f>
        <v>18</v>
      </c>
      <c r="G27" s="17" t="n">
        <f aca="false">IF($B27="P1 Baseline",Parameters!$B$4,Parameters!$C$4)</f>
        <v>1</v>
      </c>
      <c r="H27" s="17" t="n">
        <f aca="false">IF($B27="P1 Baseline",Parameters!$B$5,Parameters!$C$5)</f>
        <v>1</v>
      </c>
      <c r="I27" s="9" t="n">
        <f aca="false">G27+H27</f>
        <v>2</v>
      </c>
      <c r="J27" s="17" t="n">
        <f aca="false">IF($B27="P1 Baseline",Parameters!$B$7,U27)</f>
        <v>3</v>
      </c>
      <c r="K27" s="18" t="n">
        <f aca="false">E27*H27</f>
        <v>840</v>
      </c>
      <c r="L27" s="18" t="n">
        <f aca="false">E27*I27</f>
        <v>1680</v>
      </c>
      <c r="M27" s="18" t="n">
        <f aca="false">E27*J27</f>
        <v>2520</v>
      </c>
      <c r="N27" s="18" t="n">
        <f aca="false">E27*MAX(J27-I27,0)</f>
        <v>840</v>
      </c>
      <c r="O27" s="18" t="n">
        <f aca="false">M27-E27*G27</f>
        <v>1680</v>
      </c>
      <c r="P27" s="18" t="n">
        <f aca="false">K27</f>
        <v>840</v>
      </c>
      <c r="Q27" s="18" t="n">
        <f aca="false">(O27+P27)/2</f>
        <v>1260</v>
      </c>
      <c r="R27" s="17" t="n">
        <f aca="false">IF(N27&gt;0,Parameters!$B$9*E27/N27,0)</f>
        <v>12</v>
      </c>
      <c r="S27" s="18" t="n">
        <f aca="false">Q27*F27</f>
        <v>22680</v>
      </c>
      <c r="T27" s="15" t="n">
        <f aca="false">S27*Parameters!$B$8</f>
        <v>4536</v>
      </c>
      <c r="U27" s="17" t="n">
        <f aca="false">INDEX(Items!$F$2:$F$26,MATCH($A27,Items!$A$2:$A$26,0))</f>
        <v>3</v>
      </c>
    </row>
    <row r="28" customFormat="false" ht="15" hidden="false" customHeight="false" outlineLevel="0" collapsed="false">
      <c r="A28" s="6" t="s">
        <v>46</v>
      </c>
      <c r="B28" s="6" t="s">
        <v>113</v>
      </c>
      <c r="C28" s="14" t="str">
        <f aca="false">INDEX(Items!$B$2:$B$26,MATCH($A28,Items!$A$2:$A$26,0))</f>
        <v>Chronic Care Item 02</v>
      </c>
      <c r="D28" s="14" t="str">
        <f aca="false">INDEX(Items!$C$2:$C$26,MATCH($A28,Items!$A$2:$A$26,0))</f>
        <v>Chronic Care</v>
      </c>
      <c r="E28" s="15" t="n">
        <f aca="false">INDEX(Items!$D$2:$D$26,MATCH($A28,Items!$A$2:$A$26,0))</f>
        <v>480</v>
      </c>
      <c r="F28" s="16" t="n">
        <f aca="false">INDEX(Items!$E$2:$E$26,MATCH($A28,Items!$A$2:$A$26,0))</f>
        <v>38</v>
      </c>
      <c r="G28" s="17" t="n">
        <f aca="false">IF($B28="P1 Baseline",Parameters!$B$4,Parameters!$C$4)</f>
        <v>1</v>
      </c>
      <c r="H28" s="17" t="n">
        <f aca="false">IF($B28="P1 Baseline",Parameters!$B$5,Parameters!$C$5)</f>
        <v>1</v>
      </c>
      <c r="I28" s="9" t="n">
        <f aca="false">G28+H28</f>
        <v>2</v>
      </c>
      <c r="J28" s="17" t="n">
        <f aca="false">IF($B28="P1 Baseline",Parameters!$B$7,U28)</f>
        <v>3</v>
      </c>
      <c r="K28" s="18" t="n">
        <f aca="false">E28*H28</f>
        <v>480</v>
      </c>
      <c r="L28" s="18" t="n">
        <f aca="false">E28*I28</f>
        <v>960</v>
      </c>
      <c r="M28" s="18" t="n">
        <f aca="false">E28*J28</f>
        <v>1440</v>
      </c>
      <c r="N28" s="18" t="n">
        <f aca="false">E28*MAX(J28-I28,0)</f>
        <v>480</v>
      </c>
      <c r="O28" s="18" t="n">
        <f aca="false">M28-E28*G28</f>
        <v>960</v>
      </c>
      <c r="P28" s="18" t="n">
        <f aca="false">K28</f>
        <v>480</v>
      </c>
      <c r="Q28" s="18" t="n">
        <f aca="false">(O28+P28)/2</f>
        <v>720</v>
      </c>
      <c r="R28" s="17" t="n">
        <f aca="false">IF(N28&gt;0,Parameters!$B$9*E28/N28,0)</f>
        <v>12</v>
      </c>
      <c r="S28" s="18" t="n">
        <f aca="false">Q28*F28</f>
        <v>27360</v>
      </c>
      <c r="T28" s="15" t="n">
        <f aca="false">S28*Parameters!$B$8</f>
        <v>5472</v>
      </c>
      <c r="U28" s="17" t="n">
        <f aca="false">INDEX(Items!$F$2:$F$26,MATCH($A28,Items!$A$2:$A$26,0))</f>
        <v>3</v>
      </c>
    </row>
    <row r="29" customFormat="false" ht="15" hidden="false" customHeight="false" outlineLevel="0" collapsed="false">
      <c r="A29" s="6" t="s">
        <v>48</v>
      </c>
      <c r="B29" s="6" t="s">
        <v>113</v>
      </c>
      <c r="C29" s="14" t="str">
        <f aca="false">INDEX(Items!$B$2:$B$26,MATCH($A29,Items!$A$2:$A$26,0))</f>
        <v>Chronic Care Item 03</v>
      </c>
      <c r="D29" s="14" t="str">
        <f aca="false">INDEX(Items!$C$2:$C$26,MATCH($A29,Items!$A$2:$A$26,0))</f>
        <v>Chronic Care</v>
      </c>
      <c r="E29" s="15" t="n">
        <f aca="false">INDEX(Items!$D$2:$D$26,MATCH($A29,Items!$A$2:$A$26,0))</f>
        <v>940</v>
      </c>
      <c r="F29" s="16" t="n">
        <f aca="false">INDEX(Items!$E$2:$E$26,MATCH($A29,Items!$A$2:$A$26,0))</f>
        <v>86</v>
      </c>
      <c r="G29" s="17" t="n">
        <f aca="false">IF($B29="P1 Baseline",Parameters!$B$4,Parameters!$C$4)</f>
        <v>1</v>
      </c>
      <c r="H29" s="17" t="n">
        <f aca="false">IF($B29="P1 Baseline",Parameters!$B$5,Parameters!$C$5)</f>
        <v>1</v>
      </c>
      <c r="I29" s="9" t="n">
        <f aca="false">G29+H29</f>
        <v>2</v>
      </c>
      <c r="J29" s="17" t="n">
        <f aca="false">IF($B29="P1 Baseline",Parameters!$B$7,U29)</f>
        <v>3</v>
      </c>
      <c r="K29" s="18" t="n">
        <f aca="false">E29*H29</f>
        <v>940</v>
      </c>
      <c r="L29" s="18" t="n">
        <f aca="false">E29*I29</f>
        <v>1880</v>
      </c>
      <c r="M29" s="18" t="n">
        <f aca="false">E29*J29</f>
        <v>2820</v>
      </c>
      <c r="N29" s="18" t="n">
        <f aca="false">E29*MAX(J29-I29,0)</f>
        <v>940</v>
      </c>
      <c r="O29" s="18" t="n">
        <f aca="false">M29-E29*G29</f>
        <v>1880</v>
      </c>
      <c r="P29" s="18" t="n">
        <f aca="false">K29</f>
        <v>940</v>
      </c>
      <c r="Q29" s="18" t="n">
        <f aca="false">(O29+P29)/2</f>
        <v>1410</v>
      </c>
      <c r="R29" s="17" t="n">
        <f aca="false">IF(N29&gt;0,Parameters!$B$9*E29/N29,0)</f>
        <v>12</v>
      </c>
      <c r="S29" s="18" t="n">
        <f aca="false">Q29*F29</f>
        <v>121260</v>
      </c>
      <c r="T29" s="15" t="n">
        <f aca="false">S29*Parameters!$B$8</f>
        <v>24252</v>
      </c>
      <c r="U29" s="17" t="n">
        <f aca="false">INDEX(Items!$F$2:$F$26,MATCH($A29,Items!$A$2:$A$26,0))</f>
        <v>3</v>
      </c>
    </row>
    <row r="30" customFormat="false" ht="15" hidden="false" customHeight="false" outlineLevel="0" collapsed="false">
      <c r="A30" s="6" t="s">
        <v>50</v>
      </c>
      <c r="B30" s="6" t="s">
        <v>113</v>
      </c>
      <c r="C30" s="14" t="str">
        <f aca="false">INDEX(Items!$B$2:$B$26,MATCH($A30,Items!$A$2:$A$26,0))</f>
        <v>Chronic Care Item 04</v>
      </c>
      <c r="D30" s="14" t="str">
        <f aca="false">INDEX(Items!$C$2:$C$26,MATCH($A30,Items!$A$2:$A$26,0))</f>
        <v>Chronic Care</v>
      </c>
      <c r="E30" s="15" t="n">
        <f aca="false">INDEX(Items!$D$2:$D$26,MATCH($A30,Items!$A$2:$A$26,0))</f>
        <v>1090</v>
      </c>
      <c r="F30" s="16" t="n">
        <f aca="false">INDEX(Items!$E$2:$E$26,MATCH($A30,Items!$A$2:$A$26,0))</f>
        <v>24</v>
      </c>
      <c r="G30" s="17" t="n">
        <f aca="false">IF($B30="P1 Baseline",Parameters!$B$4,Parameters!$C$4)</f>
        <v>1</v>
      </c>
      <c r="H30" s="17" t="n">
        <f aca="false">IF($B30="P1 Baseline",Parameters!$B$5,Parameters!$C$5)</f>
        <v>1</v>
      </c>
      <c r="I30" s="9" t="n">
        <f aca="false">G30+H30</f>
        <v>2</v>
      </c>
      <c r="J30" s="17" t="n">
        <f aca="false">IF($B30="P1 Baseline",Parameters!$B$7,U30)</f>
        <v>3</v>
      </c>
      <c r="K30" s="18" t="n">
        <f aca="false">E30*H30</f>
        <v>1090</v>
      </c>
      <c r="L30" s="18" t="n">
        <f aca="false">E30*I30</f>
        <v>2180</v>
      </c>
      <c r="M30" s="18" t="n">
        <f aca="false">E30*J30</f>
        <v>3270</v>
      </c>
      <c r="N30" s="18" t="n">
        <f aca="false">E30*MAX(J30-I30,0)</f>
        <v>1090</v>
      </c>
      <c r="O30" s="18" t="n">
        <f aca="false">M30-E30*G30</f>
        <v>2180</v>
      </c>
      <c r="P30" s="18" t="n">
        <f aca="false">K30</f>
        <v>1090</v>
      </c>
      <c r="Q30" s="18" t="n">
        <f aca="false">(O30+P30)/2</f>
        <v>1635</v>
      </c>
      <c r="R30" s="17" t="n">
        <f aca="false">IF(N30&gt;0,Parameters!$B$9*E30/N30,0)</f>
        <v>12</v>
      </c>
      <c r="S30" s="18" t="n">
        <f aca="false">Q30*F30</f>
        <v>39240</v>
      </c>
      <c r="T30" s="15" t="n">
        <f aca="false">S30*Parameters!$B$8</f>
        <v>7848</v>
      </c>
      <c r="U30" s="17" t="n">
        <f aca="false">INDEX(Items!$F$2:$F$26,MATCH($A30,Items!$A$2:$A$26,0))</f>
        <v>3</v>
      </c>
    </row>
    <row r="31" customFormat="false" ht="15" hidden="false" customHeight="false" outlineLevel="0" collapsed="false">
      <c r="A31" s="6" t="s">
        <v>52</v>
      </c>
      <c r="B31" s="6" t="s">
        <v>113</v>
      </c>
      <c r="C31" s="14" t="str">
        <f aca="false">INDEX(Items!$B$2:$B$26,MATCH($A31,Items!$A$2:$A$26,0))</f>
        <v>Chronic Care Item 05</v>
      </c>
      <c r="D31" s="14" t="str">
        <f aca="false">INDEX(Items!$C$2:$C$26,MATCH($A31,Items!$A$2:$A$26,0))</f>
        <v>Chronic Care</v>
      </c>
      <c r="E31" s="15" t="n">
        <f aca="false">INDEX(Items!$D$2:$D$26,MATCH($A31,Items!$A$2:$A$26,0))</f>
        <v>620</v>
      </c>
      <c r="F31" s="16" t="n">
        <f aca="false">INDEX(Items!$E$2:$E$26,MATCH($A31,Items!$A$2:$A$26,0))</f>
        <v>18</v>
      </c>
      <c r="G31" s="17" t="n">
        <f aca="false">IF($B31="P1 Baseline",Parameters!$B$4,Parameters!$C$4)</f>
        <v>1</v>
      </c>
      <c r="H31" s="17" t="n">
        <f aca="false">IF($B31="P1 Baseline",Parameters!$B$5,Parameters!$C$5)</f>
        <v>1</v>
      </c>
      <c r="I31" s="9" t="n">
        <f aca="false">G31+H31</f>
        <v>2</v>
      </c>
      <c r="J31" s="17" t="n">
        <f aca="false">IF($B31="P1 Baseline",Parameters!$B$7,U31)</f>
        <v>3</v>
      </c>
      <c r="K31" s="18" t="n">
        <f aca="false">E31*H31</f>
        <v>620</v>
      </c>
      <c r="L31" s="18" t="n">
        <f aca="false">E31*I31</f>
        <v>1240</v>
      </c>
      <c r="M31" s="18" t="n">
        <f aca="false">E31*J31</f>
        <v>1860</v>
      </c>
      <c r="N31" s="18" t="n">
        <f aca="false">E31*MAX(J31-I31,0)</f>
        <v>620</v>
      </c>
      <c r="O31" s="18" t="n">
        <f aca="false">M31-E31*G31</f>
        <v>1240</v>
      </c>
      <c r="P31" s="18" t="n">
        <f aca="false">K31</f>
        <v>620</v>
      </c>
      <c r="Q31" s="18" t="n">
        <f aca="false">(O31+P31)/2</f>
        <v>930</v>
      </c>
      <c r="R31" s="17" t="n">
        <f aca="false">IF(N31&gt;0,Parameters!$B$9*E31/N31,0)</f>
        <v>12</v>
      </c>
      <c r="S31" s="18" t="n">
        <f aca="false">Q31*F31</f>
        <v>16740</v>
      </c>
      <c r="T31" s="15" t="n">
        <f aca="false">S31*Parameters!$B$8</f>
        <v>3348</v>
      </c>
      <c r="U31" s="17" t="n">
        <f aca="false">INDEX(Items!$F$2:$F$26,MATCH($A31,Items!$A$2:$A$26,0))</f>
        <v>3</v>
      </c>
    </row>
    <row r="32" customFormat="false" ht="15" hidden="false" customHeight="false" outlineLevel="0" collapsed="false">
      <c r="A32" s="6" t="s">
        <v>54</v>
      </c>
      <c r="B32" s="6" t="s">
        <v>113</v>
      </c>
      <c r="C32" s="14" t="str">
        <f aca="false">INDEX(Items!$B$2:$B$26,MATCH($A32,Items!$A$2:$A$26,0))</f>
        <v>Antibiotics Item 01</v>
      </c>
      <c r="D32" s="14" t="str">
        <f aca="false">INDEX(Items!$C$2:$C$26,MATCH($A32,Items!$A$2:$A$26,0))</f>
        <v>Antibiotics</v>
      </c>
      <c r="E32" s="15" t="n">
        <f aca="false">INDEX(Items!$D$2:$D$26,MATCH($A32,Items!$A$2:$A$26,0))</f>
        <v>310</v>
      </c>
      <c r="F32" s="16" t="n">
        <f aca="false">INDEX(Items!$E$2:$E$26,MATCH($A32,Items!$A$2:$A$26,0))</f>
        <v>86</v>
      </c>
      <c r="G32" s="17" t="n">
        <f aca="false">IF($B32="P1 Baseline",Parameters!$B$4,Parameters!$C$4)</f>
        <v>1</v>
      </c>
      <c r="H32" s="17" t="n">
        <f aca="false">IF($B32="P1 Baseline",Parameters!$B$5,Parameters!$C$5)</f>
        <v>1</v>
      </c>
      <c r="I32" s="9" t="n">
        <f aca="false">G32+H32</f>
        <v>2</v>
      </c>
      <c r="J32" s="17" t="n">
        <f aca="false">IF($B32="P1 Baseline",Parameters!$B$7,U32)</f>
        <v>4</v>
      </c>
      <c r="K32" s="18" t="n">
        <f aca="false">E32*H32</f>
        <v>310</v>
      </c>
      <c r="L32" s="18" t="n">
        <f aca="false">E32*I32</f>
        <v>620</v>
      </c>
      <c r="M32" s="18" t="n">
        <f aca="false">E32*J32</f>
        <v>1240</v>
      </c>
      <c r="N32" s="18" t="n">
        <f aca="false">E32*MAX(J32-I32,0)</f>
        <v>620</v>
      </c>
      <c r="O32" s="18" t="n">
        <f aca="false">M32-E32*G32</f>
        <v>930</v>
      </c>
      <c r="P32" s="18" t="n">
        <f aca="false">K32</f>
        <v>310</v>
      </c>
      <c r="Q32" s="18" t="n">
        <f aca="false">(O32+P32)/2</f>
        <v>620</v>
      </c>
      <c r="R32" s="17" t="n">
        <f aca="false">IF(N32&gt;0,Parameters!$B$9*E32/N32,0)</f>
        <v>6</v>
      </c>
      <c r="S32" s="18" t="n">
        <f aca="false">Q32*F32</f>
        <v>53320</v>
      </c>
      <c r="T32" s="15" t="n">
        <f aca="false">S32*Parameters!$B$8</f>
        <v>10664</v>
      </c>
      <c r="U32" s="17" t="n">
        <f aca="false">INDEX(Items!$F$2:$F$26,MATCH($A32,Items!$A$2:$A$26,0))</f>
        <v>4</v>
      </c>
    </row>
    <row r="33" customFormat="false" ht="15" hidden="false" customHeight="false" outlineLevel="0" collapsed="false">
      <c r="A33" s="6" t="s">
        <v>57</v>
      </c>
      <c r="B33" s="6" t="s">
        <v>113</v>
      </c>
      <c r="C33" s="14" t="str">
        <f aca="false">INDEX(Items!$B$2:$B$26,MATCH($A33,Items!$A$2:$A$26,0))</f>
        <v>Antibiotics Item 02</v>
      </c>
      <c r="D33" s="14" t="str">
        <f aca="false">INDEX(Items!$C$2:$C$26,MATCH($A33,Items!$A$2:$A$26,0))</f>
        <v>Antibiotics</v>
      </c>
      <c r="E33" s="15" t="n">
        <f aca="false">INDEX(Items!$D$2:$D$26,MATCH($A33,Items!$A$2:$A$26,0))</f>
        <v>170</v>
      </c>
      <c r="F33" s="16" t="n">
        <f aca="false">INDEX(Items!$E$2:$E$26,MATCH($A33,Items!$A$2:$A$26,0))</f>
        <v>46</v>
      </c>
      <c r="G33" s="17" t="n">
        <f aca="false">IF($B33="P1 Baseline",Parameters!$B$4,Parameters!$C$4)</f>
        <v>1</v>
      </c>
      <c r="H33" s="17" t="n">
        <f aca="false">IF($B33="P1 Baseline",Parameters!$B$5,Parameters!$C$5)</f>
        <v>1</v>
      </c>
      <c r="I33" s="9" t="n">
        <f aca="false">G33+H33</f>
        <v>2</v>
      </c>
      <c r="J33" s="17" t="n">
        <f aca="false">IF($B33="P1 Baseline",Parameters!$B$7,U33)</f>
        <v>4</v>
      </c>
      <c r="K33" s="18" t="n">
        <f aca="false">E33*H33</f>
        <v>170</v>
      </c>
      <c r="L33" s="18" t="n">
        <f aca="false">E33*I33</f>
        <v>340</v>
      </c>
      <c r="M33" s="18" t="n">
        <f aca="false">E33*J33</f>
        <v>680</v>
      </c>
      <c r="N33" s="18" t="n">
        <f aca="false">E33*MAX(J33-I33,0)</f>
        <v>340</v>
      </c>
      <c r="O33" s="18" t="n">
        <f aca="false">M33-E33*G33</f>
        <v>510</v>
      </c>
      <c r="P33" s="18" t="n">
        <f aca="false">K33</f>
        <v>170</v>
      </c>
      <c r="Q33" s="18" t="n">
        <f aca="false">(O33+P33)/2</f>
        <v>340</v>
      </c>
      <c r="R33" s="17" t="n">
        <f aca="false">IF(N33&gt;0,Parameters!$B$9*E33/N33,0)</f>
        <v>6</v>
      </c>
      <c r="S33" s="18" t="n">
        <f aca="false">Q33*F33</f>
        <v>15640</v>
      </c>
      <c r="T33" s="15" t="n">
        <f aca="false">S33*Parameters!$B$8</f>
        <v>3128</v>
      </c>
      <c r="U33" s="17" t="n">
        <f aca="false">INDEX(Items!$F$2:$F$26,MATCH($A33,Items!$A$2:$A$26,0))</f>
        <v>4</v>
      </c>
    </row>
    <row r="34" customFormat="false" ht="15" hidden="false" customHeight="false" outlineLevel="0" collapsed="false">
      <c r="A34" s="6" t="s">
        <v>59</v>
      </c>
      <c r="B34" s="6" t="s">
        <v>113</v>
      </c>
      <c r="C34" s="14" t="str">
        <f aca="false">INDEX(Items!$B$2:$B$26,MATCH($A34,Items!$A$2:$A$26,0))</f>
        <v>Antibiotics Item 03</v>
      </c>
      <c r="D34" s="14" t="str">
        <f aca="false">INDEX(Items!$C$2:$C$26,MATCH($A34,Items!$A$2:$A$26,0))</f>
        <v>Antibiotics</v>
      </c>
      <c r="E34" s="15" t="n">
        <f aca="false">INDEX(Items!$D$2:$D$26,MATCH($A34,Items!$A$2:$A$26,0))</f>
        <v>640</v>
      </c>
      <c r="F34" s="16" t="n">
        <f aca="false">INDEX(Items!$E$2:$E$26,MATCH($A34,Items!$A$2:$A$26,0))</f>
        <v>91</v>
      </c>
      <c r="G34" s="17" t="n">
        <f aca="false">IF($B34="P1 Baseline",Parameters!$B$4,Parameters!$C$4)</f>
        <v>1</v>
      </c>
      <c r="H34" s="17" t="n">
        <f aca="false">IF($B34="P1 Baseline",Parameters!$B$5,Parameters!$C$5)</f>
        <v>1</v>
      </c>
      <c r="I34" s="9" t="n">
        <f aca="false">G34+H34</f>
        <v>2</v>
      </c>
      <c r="J34" s="17" t="n">
        <f aca="false">IF($B34="P1 Baseline",Parameters!$B$7,U34)</f>
        <v>4</v>
      </c>
      <c r="K34" s="18" t="n">
        <f aca="false">E34*H34</f>
        <v>640</v>
      </c>
      <c r="L34" s="18" t="n">
        <f aca="false">E34*I34</f>
        <v>1280</v>
      </c>
      <c r="M34" s="18" t="n">
        <f aca="false">E34*J34</f>
        <v>2560</v>
      </c>
      <c r="N34" s="18" t="n">
        <f aca="false">E34*MAX(J34-I34,0)</f>
        <v>1280</v>
      </c>
      <c r="O34" s="18" t="n">
        <f aca="false">M34-E34*G34</f>
        <v>1920</v>
      </c>
      <c r="P34" s="18" t="n">
        <f aca="false">K34</f>
        <v>640</v>
      </c>
      <c r="Q34" s="18" t="n">
        <f aca="false">(O34+P34)/2</f>
        <v>1280</v>
      </c>
      <c r="R34" s="17" t="n">
        <f aca="false">IF(N34&gt;0,Parameters!$B$9*E34/N34,0)</f>
        <v>6</v>
      </c>
      <c r="S34" s="18" t="n">
        <f aca="false">Q34*F34</f>
        <v>116480</v>
      </c>
      <c r="T34" s="15" t="n">
        <f aca="false">S34*Parameters!$B$8</f>
        <v>23296</v>
      </c>
      <c r="U34" s="17" t="n">
        <f aca="false">INDEX(Items!$F$2:$F$26,MATCH($A34,Items!$A$2:$A$26,0))</f>
        <v>4</v>
      </c>
    </row>
    <row r="35" customFormat="false" ht="15" hidden="false" customHeight="false" outlineLevel="0" collapsed="false">
      <c r="A35" s="6" t="s">
        <v>61</v>
      </c>
      <c r="B35" s="6" t="s">
        <v>113</v>
      </c>
      <c r="C35" s="14" t="str">
        <f aca="false">INDEX(Items!$B$2:$B$26,MATCH($A35,Items!$A$2:$A$26,0))</f>
        <v>Antibiotics Item 04</v>
      </c>
      <c r="D35" s="14" t="str">
        <f aca="false">INDEX(Items!$C$2:$C$26,MATCH($A35,Items!$A$2:$A$26,0))</f>
        <v>Antibiotics</v>
      </c>
      <c r="E35" s="15" t="n">
        <f aca="false">INDEX(Items!$D$2:$D$26,MATCH($A35,Items!$A$2:$A$26,0))</f>
        <v>320</v>
      </c>
      <c r="F35" s="16" t="n">
        <f aca="false">INDEX(Items!$E$2:$E$26,MATCH($A35,Items!$A$2:$A$26,0))</f>
        <v>97</v>
      </c>
      <c r="G35" s="17" t="n">
        <f aca="false">IF($B35="P1 Baseline",Parameters!$B$4,Parameters!$C$4)</f>
        <v>1</v>
      </c>
      <c r="H35" s="17" t="n">
        <f aca="false">IF($B35="P1 Baseline",Parameters!$B$5,Parameters!$C$5)</f>
        <v>1</v>
      </c>
      <c r="I35" s="9" t="n">
        <f aca="false">G35+H35</f>
        <v>2</v>
      </c>
      <c r="J35" s="17" t="n">
        <f aca="false">IF($B35="P1 Baseline",Parameters!$B$7,U35)</f>
        <v>4</v>
      </c>
      <c r="K35" s="18" t="n">
        <f aca="false">E35*H35</f>
        <v>320</v>
      </c>
      <c r="L35" s="18" t="n">
        <f aca="false">E35*I35</f>
        <v>640</v>
      </c>
      <c r="M35" s="18" t="n">
        <f aca="false">E35*J35</f>
        <v>1280</v>
      </c>
      <c r="N35" s="18" t="n">
        <f aca="false">E35*MAX(J35-I35,0)</f>
        <v>640</v>
      </c>
      <c r="O35" s="18" t="n">
        <f aca="false">M35-E35*G35</f>
        <v>960</v>
      </c>
      <c r="P35" s="18" t="n">
        <f aca="false">K35</f>
        <v>320</v>
      </c>
      <c r="Q35" s="18" t="n">
        <f aca="false">(O35+P35)/2</f>
        <v>640</v>
      </c>
      <c r="R35" s="17" t="n">
        <f aca="false">IF(N35&gt;0,Parameters!$B$9*E35/N35,0)</f>
        <v>6</v>
      </c>
      <c r="S35" s="18" t="n">
        <f aca="false">Q35*F35</f>
        <v>62080</v>
      </c>
      <c r="T35" s="15" t="n">
        <f aca="false">S35*Parameters!$B$8</f>
        <v>12416</v>
      </c>
      <c r="U35" s="17" t="n">
        <f aca="false">INDEX(Items!$F$2:$F$26,MATCH($A35,Items!$A$2:$A$26,0))</f>
        <v>4</v>
      </c>
    </row>
    <row r="36" customFormat="false" ht="15" hidden="false" customHeight="false" outlineLevel="0" collapsed="false">
      <c r="A36" s="6" t="s">
        <v>63</v>
      </c>
      <c r="B36" s="6" t="s">
        <v>113</v>
      </c>
      <c r="C36" s="14" t="str">
        <f aca="false">INDEX(Items!$B$2:$B$26,MATCH($A36,Items!$A$2:$A$26,0))</f>
        <v>Antibiotics Item 05</v>
      </c>
      <c r="D36" s="14" t="str">
        <f aca="false">INDEX(Items!$C$2:$C$26,MATCH($A36,Items!$A$2:$A$26,0))</f>
        <v>Antibiotics</v>
      </c>
      <c r="E36" s="15" t="n">
        <f aca="false">INDEX(Items!$D$2:$D$26,MATCH($A36,Items!$A$2:$A$26,0))</f>
        <v>760</v>
      </c>
      <c r="F36" s="16" t="n">
        <f aca="false">INDEX(Items!$E$2:$E$26,MATCH($A36,Items!$A$2:$A$26,0))</f>
        <v>21</v>
      </c>
      <c r="G36" s="17" t="n">
        <f aca="false">IF($B36="P1 Baseline",Parameters!$B$4,Parameters!$C$4)</f>
        <v>1</v>
      </c>
      <c r="H36" s="17" t="n">
        <f aca="false">IF($B36="P1 Baseline",Parameters!$B$5,Parameters!$C$5)</f>
        <v>1</v>
      </c>
      <c r="I36" s="9" t="n">
        <f aca="false">G36+H36</f>
        <v>2</v>
      </c>
      <c r="J36" s="17" t="n">
        <f aca="false">IF($B36="P1 Baseline",Parameters!$B$7,U36)</f>
        <v>4</v>
      </c>
      <c r="K36" s="18" t="n">
        <f aca="false">E36*H36</f>
        <v>760</v>
      </c>
      <c r="L36" s="18" t="n">
        <f aca="false">E36*I36</f>
        <v>1520</v>
      </c>
      <c r="M36" s="18" t="n">
        <f aca="false">E36*J36</f>
        <v>3040</v>
      </c>
      <c r="N36" s="18" t="n">
        <f aca="false">E36*MAX(J36-I36,0)</f>
        <v>1520</v>
      </c>
      <c r="O36" s="18" t="n">
        <f aca="false">M36-E36*G36</f>
        <v>2280</v>
      </c>
      <c r="P36" s="18" t="n">
        <f aca="false">K36</f>
        <v>760</v>
      </c>
      <c r="Q36" s="18" t="n">
        <f aca="false">(O36+P36)/2</f>
        <v>1520</v>
      </c>
      <c r="R36" s="17" t="n">
        <f aca="false">IF(N36&gt;0,Parameters!$B$9*E36/N36,0)</f>
        <v>6</v>
      </c>
      <c r="S36" s="18" t="n">
        <f aca="false">Q36*F36</f>
        <v>31920</v>
      </c>
      <c r="T36" s="15" t="n">
        <f aca="false">S36*Parameters!$B$8</f>
        <v>6384</v>
      </c>
      <c r="U36" s="17" t="n">
        <f aca="false">INDEX(Items!$F$2:$F$26,MATCH($A36,Items!$A$2:$A$26,0))</f>
        <v>4</v>
      </c>
    </row>
    <row r="37" customFormat="false" ht="15" hidden="false" customHeight="false" outlineLevel="0" collapsed="false">
      <c r="A37" s="6" t="s">
        <v>65</v>
      </c>
      <c r="B37" s="6" t="s">
        <v>113</v>
      </c>
      <c r="C37" s="14" t="str">
        <f aca="false">INDEX(Items!$B$2:$B$26,MATCH($A37,Items!$A$2:$A$26,0))</f>
        <v>Emergency Item 01</v>
      </c>
      <c r="D37" s="14" t="str">
        <f aca="false">INDEX(Items!$C$2:$C$26,MATCH($A37,Items!$A$2:$A$26,0))</f>
        <v>Emergency</v>
      </c>
      <c r="E37" s="15" t="n">
        <f aca="false">INDEX(Items!$D$2:$D$26,MATCH($A37,Items!$A$2:$A$26,0))</f>
        <v>250</v>
      </c>
      <c r="F37" s="16" t="n">
        <f aca="false">INDEX(Items!$E$2:$E$26,MATCH($A37,Items!$A$2:$A$26,0))</f>
        <v>66</v>
      </c>
      <c r="G37" s="17" t="n">
        <f aca="false">IF($B37="P1 Baseline",Parameters!$B$4,Parameters!$C$4)</f>
        <v>1</v>
      </c>
      <c r="H37" s="17" t="n">
        <f aca="false">IF($B37="P1 Baseline",Parameters!$B$5,Parameters!$C$5)</f>
        <v>1</v>
      </c>
      <c r="I37" s="9" t="n">
        <f aca="false">G37+H37</f>
        <v>2</v>
      </c>
      <c r="J37" s="17" t="n">
        <f aca="false">IF($B37="P1 Baseline",Parameters!$B$7,U37)</f>
        <v>6</v>
      </c>
      <c r="K37" s="18" t="n">
        <f aca="false">E37*H37</f>
        <v>250</v>
      </c>
      <c r="L37" s="18" t="n">
        <f aca="false">E37*I37</f>
        <v>500</v>
      </c>
      <c r="M37" s="18" t="n">
        <f aca="false">E37*J37</f>
        <v>1500</v>
      </c>
      <c r="N37" s="18" t="n">
        <f aca="false">E37*MAX(J37-I37,0)</f>
        <v>1000</v>
      </c>
      <c r="O37" s="18" t="n">
        <f aca="false">M37-E37*G37</f>
        <v>1250</v>
      </c>
      <c r="P37" s="18" t="n">
        <f aca="false">K37</f>
        <v>250</v>
      </c>
      <c r="Q37" s="18" t="n">
        <f aca="false">(O37+P37)/2</f>
        <v>750</v>
      </c>
      <c r="R37" s="17" t="n">
        <f aca="false">IF(N37&gt;0,Parameters!$B$9*E37/N37,0)</f>
        <v>3</v>
      </c>
      <c r="S37" s="18" t="n">
        <f aca="false">Q37*F37</f>
        <v>49500</v>
      </c>
      <c r="T37" s="15" t="n">
        <f aca="false">S37*Parameters!$B$8</f>
        <v>9900</v>
      </c>
      <c r="U37" s="17" t="n">
        <f aca="false">INDEX(Items!$F$2:$F$26,MATCH($A37,Items!$A$2:$A$26,0))</f>
        <v>6</v>
      </c>
    </row>
    <row r="38" customFormat="false" ht="15" hidden="false" customHeight="false" outlineLevel="0" collapsed="false">
      <c r="A38" s="6" t="s">
        <v>68</v>
      </c>
      <c r="B38" s="6" t="s">
        <v>113</v>
      </c>
      <c r="C38" s="14" t="str">
        <f aca="false">INDEX(Items!$B$2:$B$26,MATCH($A38,Items!$A$2:$A$26,0))</f>
        <v>Emergency Item 02</v>
      </c>
      <c r="D38" s="14" t="str">
        <f aca="false">INDEX(Items!$C$2:$C$26,MATCH($A38,Items!$A$2:$A$26,0))</f>
        <v>Emergency</v>
      </c>
      <c r="E38" s="15" t="n">
        <f aca="false">INDEX(Items!$D$2:$D$26,MATCH($A38,Items!$A$2:$A$26,0))</f>
        <v>130</v>
      </c>
      <c r="F38" s="16" t="n">
        <f aca="false">INDEX(Items!$E$2:$E$26,MATCH($A38,Items!$A$2:$A$26,0))</f>
        <v>22</v>
      </c>
      <c r="G38" s="17" t="n">
        <f aca="false">IF($B38="P1 Baseline",Parameters!$B$4,Parameters!$C$4)</f>
        <v>1</v>
      </c>
      <c r="H38" s="17" t="n">
        <f aca="false">IF($B38="P1 Baseline",Parameters!$B$5,Parameters!$C$5)</f>
        <v>1</v>
      </c>
      <c r="I38" s="9" t="n">
        <f aca="false">G38+H38</f>
        <v>2</v>
      </c>
      <c r="J38" s="17" t="n">
        <f aca="false">IF($B38="P1 Baseline",Parameters!$B$7,U38)</f>
        <v>6</v>
      </c>
      <c r="K38" s="18" t="n">
        <f aca="false">E38*H38</f>
        <v>130</v>
      </c>
      <c r="L38" s="18" t="n">
        <f aca="false">E38*I38</f>
        <v>260</v>
      </c>
      <c r="M38" s="18" t="n">
        <f aca="false">E38*J38</f>
        <v>780</v>
      </c>
      <c r="N38" s="18" t="n">
        <f aca="false">E38*MAX(J38-I38,0)</f>
        <v>520</v>
      </c>
      <c r="O38" s="18" t="n">
        <f aca="false">M38-E38*G38</f>
        <v>650</v>
      </c>
      <c r="P38" s="18" t="n">
        <f aca="false">K38</f>
        <v>130</v>
      </c>
      <c r="Q38" s="18" t="n">
        <f aca="false">(O38+P38)/2</f>
        <v>390</v>
      </c>
      <c r="R38" s="17" t="n">
        <f aca="false">IF(N38&gt;0,Parameters!$B$9*E38/N38,0)</f>
        <v>3</v>
      </c>
      <c r="S38" s="18" t="n">
        <f aca="false">Q38*F38</f>
        <v>8580</v>
      </c>
      <c r="T38" s="15" t="n">
        <f aca="false">S38*Parameters!$B$8</f>
        <v>1716</v>
      </c>
      <c r="U38" s="17" t="n">
        <f aca="false">INDEX(Items!$F$2:$F$26,MATCH($A38,Items!$A$2:$A$26,0))</f>
        <v>6</v>
      </c>
    </row>
    <row r="39" customFormat="false" ht="15" hidden="false" customHeight="false" outlineLevel="0" collapsed="false">
      <c r="A39" s="6" t="s">
        <v>70</v>
      </c>
      <c r="B39" s="6" t="s">
        <v>113</v>
      </c>
      <c r="C39" s="14" t="str">
        <f aca="false">INDEX(Items!$B$2:$B$26,MATCH($A39,Items!$A$2:$A$26,0))</f>
        <v>Emergency Item 03</v>
      </c>
      <c r="D39" s="14" t="str">
        <f aca="false">INDEX(Items!$C$2:$C$26,MATCH($A39,Items!$A$2:$A$26,0))</f>
        <v>Emergency</v>
      </c>
      <c r="E39" s="15" t="n">
        <f aca="false">INDEX(Items!$D$2:$D$26,MATCH($A39,Items!$A$2:$A$26,0))</f>
        <v>290</v>
      </c>
      <c r="F39" s="16" t="n">
        <f aca="false">INDEX(Items!$E$2:$E$26,MATCH($A39,Items!$A$2:$A$26,0))</f>
        <v>37</v>
      </c>
      <c r="G39" s="17" t="n">
        <f aca="false">IF($B39="P1 Baseline",Parameters!$B$4,Parameters!$C$4)</f>
        <v>1</v>
      </c>
      <c r="H39" s="17" t="n">
        <f aca="false">IF($B39="P1 Baseline",Parameters!$B$5,Parameters!$C$5)</f>
        <v>1</v>
      </c>
      <c r="I39" s="9" t="n">
        <f aca="false">G39+H39</f>
        <v>2</v>
      </c>
      <c r="J39" s="17" t="n">
        <f aca="false">IF($B39="P1 Baseline",Parameters!$B$7,U39)</f>
        <v>6</v>
      </c>
      <c r="K39" s="18" t="n">
        <f aca="false">E39*H39</f>
        <v>290</v>
      </c>
      <c r="L39" s="18" t="n">
        <f aca="false">E39*I39</f>
        <v>580</v>
      </c>
      <c r="M39" s="18" t="n">
        <f aca="false">E39*J39</f>
        <v>1740</v>
      </c>
      <c r="N39" s="18" t="n">
        <f aca="false">E39*MAX(J39-I39,0)</f>
        <v>1160</v>
      </c>
      <c r="O39" s="18" t="n">
        <f aca="false">M39-E39*G39</f>
        <v>1450</v>
      </c>
      <c r="P39" s="18" t="n">
        <f aca="false">K39</f>
        <v>290</v>
      </c>
      <c r="Q39" s="18" t="n">
        <f aca="false">(O39+P39)/2</f>
        <v>870</v>
      </c>
      <c r="R39" s="17" t="n">
        <f aca="false">IF(N39&gt;0,Parameters!$B$9*E39/N39,0)</f>
        <v>3</v>
      </c>
      <c r="S39" s="18" t="n">
        <f aca="false">Q39*F39</f>
        <v>32190</v>
      </c>
      <c r="T39" s="15" t="n">
        <f aca="false">S39*Parameters!$B$8</f>
        <v>6438</v>
      </c>
      <c r="U39" s="17" t="n">
        <f aca="false">INDEX(Items!$F$2:$F$26,MATCH($A39,Items!$A$2:$A$26,0))</f>
        <v>6</v>
      </c>
    </row>
    <row r="40" customFormat="false" ht="15" hidden="false" customHeight="false" outlineLevel="0" collapsed="false">
      <c r="A40" s="6" t="s">
        <v>72</v>
      </c>
      <c r="B40" s="6" t="s">
        <v>113</v>
      </c>
      <c r="C40" s="14" t="str">
        <f aca="false">INDEX(Items!$B$2:$B$26,MATCH($A40,Items!$A$2:$A$26,0))</f>
        <v>Emergency Item 04</v>
      </c>
      <c r="D40" s="14" t="str">
        <f aca="false">INDEX(Items!$C$2:$C$26,MATCH($A40,Items!$A$2:$A$26,0))</f>
        <v>Emergency</v>
      </c>
      <c r="E40" s="15" t="n">
        <f aca="false">INDEX(Items!$D$2:$D$26,MATCH($A40,Items!$A$2:$A$26,0))</f>
        <v>60</v>
      </c>
      <c r="F40" s="16" t="n">
        <f aca="false">INDEX(Items!$E$2:$E$26,MATCH($A40,Items!$A$2:$A$26,0))</f>
        <v>18</v>
      </c>
      <c r="G40" s="17" t="n">
        <f aca="false">IF($B40="P1 Baseline",Parameters!$B$4,Parameters!$C$4)</f>
        <v>1</v>
      </c>
      <c r="H40" s="17" t="n">
        <f aca="false">IF($B40="P1 Baseline",Parameters!$B$5,Parameters!$C$5)</f>
        <v>1</v>
      </c>
      <c r="I40" s="9" t="n">
        <f aca="false">G40+H40</f>
        <v>2</v>
      </c>
      <c r="J40" s="17" t="n">
        <f aca="false">IF($B40="P1 Baseline",Parameters!$B$7,U40)</f>
        <v>6</v>
      </c>
      <c r="K40" s="18" t="n">
        <f aca="false">E40*H40</f>
        <v>60</v>
      </c>
      <c r="L40" s="18" t="n">
        <f aca="false">E40*I40</f>
        <v>120</v>
      </c>
      <c r="M40" s="18" t="n">
        <f aca="false">E40*J40</f>
        <v>360</v>
      </c>
      <c r="N40" s="18" t="n">
        <f aca="false">E40*MAX(J40-I40,0)</f>
        <v>240</v>
      </c>
      <c r="O40" s="18" t="n">
        <f aca="false">M40-E40*G40</f>
        <v>300</v>
      </c>
      <c r="P40" s="18" t="n">
        <f aca="false">K40</f>
        <v>60</v>
      </c>
      <c r="Q40" s="18" t="n">
        <f aca="false">(O40+P40)/2</f>
        <v>180</v>
      </c>
      <c r="R40" s="17" t="n">
        <f aca="false">IF(N40&gt;0,Parameters!$B$9*E40/N40,0)</f>
        <v>3</v>
      </c>
      <c r="S40" s="18" t="n">
        <f aca="false">Q40*F40</f>
        <v>3240</v>
      </c>
      <c r="T40" s="15" t="n">
        <f aca="false">S40*Parameters!$B$8</f>
        <v>648</v>
      </c>
      <c r="U40" s="17" t="n">
        <f aca="false">INDEX(Items!$F$2:$F$26,MATCH($A40,Items!$A$2:$A$26,0))</f>
        <v>6</v>
      </c>
    </row>
    <row r="41" customFormat="false" ht="15" hidden="false" customHeight="false" outlineLevel="0" collapsed="false">
      <c r="A41" s="6" t="s">
        <v>74</v>
      </c>
      <c r="B41" s="6" t="s">
        <v>113</v>
      </c>
      <c r="C41" s="14" t="str">
        <f aca="false">INDEX(Items!$B$2:$B$26,MATCH($A41,Items!$A$2:$A$26,0))</f>
        <v>Specialty High-Cost Item 01</v>
      </c>
      <c r="D41" s="14" t="str">
        <f aca="false">INDEX(Items!$C$2:$C$26,MATCH($A41,Items!$A$2:$A$26,0))</f>
        <v>Specialty High-Cost</v>
      </c>
      <c r="E41" s="15" t="n">
        <f aca="false">INDEX(Items!$D$2:$D$26,MATCH($A41,Items!$A$2:$A$26,0))</f>
        <v>35</v>
      </c>
      <c r="F41" s="16" t="n">
        <f aca="false">INDEX(Items!$E$2:$E$26,MATCH($A41,Items!$A$2:$A$26,0))</f>
        <v>3939</v>
      </c>
      <c r="G41" s="17" t="n">
        <f aca="false">IF($B41="P1 Baseline",Parameters!$B$4,Parameters!$C$4)</f>
        <v>1</v>
      </c>
      <c r="H41" s="17" t="n">
        <f aca="false">IF($B41="P1 Baseline",Parameters!$B$5,Parameters!$C$5)</f>
        <v>1</v>
      </c>
      <c r="I41" s="9" t="n">
        <f aca="false">G41+H41</f>
        <v>2</v>
      </c>
      <c r="J41" s="17" t="n">
        <f aca="false">IF($B41="P1 Baseline",Parameters!$B$7,U41)</f>
        <v>3</v>
      </c>
      <c r="K41" s="18" t="n">
        <f aca="false">E41*H41</f>
        <v>35</v>
      </c>
      <c r="L41" s="18" t="n">
        <f aca="false">E41*I41</f>
        <v>70</v>
      </c>
      <c r="M41" s="18" t="n">
        <f aca="false">E41*J41</f>
        <v>105</v>
      </c>
      <c r="N41" s="18" t="n">
        <f aca="false">E41*MAX(J41-I41,0)</f>
        <v>35</v>
      </c>
      <c r="O41" s="18" t="n">
        <f aca="false">M41-E41*G41</f>
        <v>70</v>
      </c>
      <c r="P41" s="18" t="n">
        <f aca="false">K41</f>
        <v>35</v>
      </c>
      <c r="Q41" s="18" t="n">
        <f aca="false">(O41+P41)/2</f>
        <v>52.5</v>
      </c>
      <c r="R41" s="17" t="n">
        <f aca="false">IF(N41&gt;0,Parameters!$B$9*E41/N41,0)</f>
        <v>12</v>
      </c>
      <c r="S41" s="18" t="n">
        <f aca="false">Q41*F41</f>
        <v>206797.5</v>
      </c>
      <c r="T41" s="15" t="n">
        <f aca="false">S41*Parameters!$B$8</f>
        <v>41359.5</v>
      </c>
      <c r="U41" s="17" t="n">
        <f aca="false">INDEX(Items!$F$2:$F$26,MATCH($A41,Items!$A$2:$A$26,0))</f>
        <v>3</v>
      </c>
    </row>
    <row r="42" customFormat="false" ht="15" hidden="false" customHeight="false" outlineLevel="0" collapsed="false">
      <c r="A42" s="6" t="s">
        <v>77</v>
      </c>
      <c r="B42" s="6" t="s">
        <v>113</v>
      </c>
      <c r="C42" s="14" t="str">
        <f aca="false">INDEX(Items!$B$2:$B$26,MATCH($A42,Items!$A$2:$A$26,0))</f>
        <v>Specialty High-Cost Item 02</v>
      </c>
      <c r="D42" s="14" t="str">
        <f aca="false">INDEX(Items!$C$2:$C$26,MATCH($A42,Items!$A$2:$A$26,0))</f>
        <v>Specialty High-Cost</v>
      </c>
      <c r="E42" s="15" t="n">
        <f aca="false">INDEX(Items!$D$2:$D$26,MATCH($A42,Items!$A$2:$A$26,0))</f>
        <v>33</v>
      </c>
      <c r="F42" s="16" t="n">
        <f aca="false">INDEX(Items!$E$2:$E$26,MATCH($A42,Items!$A$2:$A$26,0))</f>
        <v>4595</v>
      </c>
      <c r="G42" s="17" t="n">
        <f aca="false">IF($B42="P1 Baseline",Parameters!$B$4,Parameters!$C$4)</f>
        <v>1</v>
      </c>
      <c r="H42" s="17" t="n">
        <f aca="false">IF($B42="P1 Baseline",Parameters!$B$5,Parameters!$C$5)</f>
        <v>1</v>
      </c>
      <c r="I42" s="9" t="n">
        <f aca="false">G42+H42</f>
        <v>2</v>
      </c>
      <c r="J42" s="17" t="n">
        <f aca="false">IF($B42="P1 Baseline",Parameters!$B$7,U42)</f>
        <v>3</v>
      </c>
      <c r="K42" s="18" t="n">
        <f aca="false">E42*H42</f>
        <v>33</v>
      </c>
      <c r="L42" s="18" t="n">
        <f aca="false">E42*I42</f>
        <v>66</v>
      </c>
      <c r="M42" s="18" t="n">
        <f aca="false">E42*J42</f>
        <v>99</v>
      </c>
      <c r="N42" s="18" t="n">
        <f aca="false">E42*MAX(J42-I42,0)</f>
        <v>33</v>
      </c>
      <c r="O42" s="18" t="n">
        <f aca="false">M42-E42*G42</f>
        <v>66</v>
      </c>
      <c r="P42" s="18" t="n">
        <f aca="false">K42</f>
        <v>33</v>
      </c>
      <c r="Q42" s="18" t="n">
        <f aca="false">(O42+P42)/2</f>
        <v>49.5</v>
      </c>
      <c r="R42" s="17" t="n">
        <f aca="false">IF(N42&gt;0,Parameters!$B$9*E42/N42,0)</f>
        <v>12</v>
      </c>
      <c r="S42" s="18" t="n">
        <f aca="false">Q42*F42</f>
        <v>227452.5</v>
      </c>
      <c r="T42" s="15" t="n">
        <f aca="false">S42*Parameters!$B$8</f>
        <v>45490.5</v>
      </c>
      <c r="U42" s="17" t="n">
        <f aca="false">INDEX(Items!$F$2:$F$26,MATCH($A42,Items!$A$2:$A$26,0))</f>
        <v>3</v>
      </c>
    </row>
    <row r="43" customFormat="false" ht="15" hidden="false" customHeight="false" outlineLevel="0" collapsed="false">
      <c r="A43" s="6" t="s">
        <v>79</v>
      </c>
      <c r="B43" s="6" t="s">
        <v>113</v>
      </c>
      <c r="C43" s="14" t="str">
        <f aca="false">INDEX(Items!$B$2:$B$26,MATCH($A43,Items!$A$2:$A$26,0))</f>
        <v>Specialty High-Cost Item 03</v>
      </c>
      <c r="D43" s="14" t="str">
        <f aca="false">INDEX(Items!$C$2:$C$26,MATCH($A43,Items!$A$2:$A$26,0))</f>
        <v>Specialty High-Cost</v>
      </c>
      <c r="E43" s="15" t="n">
        <f aca="false">INDEX(Items!$D$2:$D$26,MATCH($A43,Items!$A$2:$A$26,0))</f>
        <v>24</v>
      </c>
      <c r="F43" s="16" t="n">
        <f aca="false">INDEX(Items!$E$2:$E$26,MATCH($A43,Items!$A$2:$A$26,0))</f>
        <v>5860</v>
      </c>
      <c r="G43" s="17" t="n">
        <f aca="false">IF($B43="P1 Baseline",Parameters!$B$4,Parameters!$C$4)</f>
        <v>1</v>
      </c>
      <c r="H43" s="17" t="n">
        <f aca="false">IF($B43="P1 Baseline",Parameters!$B$5,Parameters!$C$5)</f>
        <v>1</v>
      </c>
      <c r="I43" s="9" t="n">
        <f aca="false">G43+H43</f>
        <v>2</v>
      </c>
      <c r="J43" s="17" t="n">
        <f aca="false">IF($B43="P1 Baseline",Parameters!$B$7,U43)</f>
        <v>3</v>
      </c>
      <c r="K43" s="18" t="n">
        <f aca="false">E43*H43</f>
        <v>24</v>
      </c>
      <c r="L43" s="18" t="n">
        <f aca="false">E43*I43</f>
        <v>48</v>
      </c>
      <c r="M43" s="18" t="n">
        <f aca="false">E43*J43</f>
        <v>72</v>
      </c>
      <c r="N43" s="18" t="n">
        <f aca="false">E43*MAX(J43-I43,0)</f>
        <v>24</v>
      </c>
      <c r="O43" s="18" t="n">
        <f aca="false">M43-E43*G43</f>
        <v>48</v>
      </c>
      <c r="P43" s="18" t="n">
        <f aca="false">K43</f>
        <v>24</v>
      </c>
      <c r="Q43" s="18" t="n">
        <f aca="false">(O43+P43)/2</f>
        <v>36</v>
      </c>
      <c r="R43" s="17" t="n">
        <f aca="false">IF(N43&gt;0,Parameters!$B$9*E43/N43,0)</f>
        <v>12</v>
      </c>
      <c r="S43" s="18" t="n">
        <f aca="false">Q43*F43</f>
        <v>210960</v>
      </c>
      <c r="T43" s="15" t="n">
        <f aca="false">S43*Parameters!$B$8</f>
        <v>42192</v>
      </c>
      <c r="U43" s="17" t="n">
        <f aca="false">INDEX(Items!$F$2:$F$26,MATCH($A43,Items!$A$2:$A$26,0))</f>
        <v>3</v>
      </c>
    </row>
    <row r="44" customFormat="false" ht="15" hidden="false" customHeight="false" outlineLevel="0" collapsed="false">
      <c r="A44" s="6" t="s">
        <v>81</v>
      </c>
      <c r="B44" s="6" t="s">
        <v>113</v>
      </c>
      <c r="C44" s="14" t="str">
        <f aca="false">INDEX(Items!$B$2:$B$26,MATCH($A44,Items!$A$2:$A$26,0))</f>
        <v>Specialty High-Cost Item 04</v>
      </c>
      <c r="D44" s="14" t="str">
        <f aca="false">INDEX(Items!$C$2:$C$26,MATCH($A44,Items!$A$2:$A$26,0))</f>
        <v>Specialty High-Cost</v>
      </c>
      <c r="E44" s="15" t="n">
        <f aca="false">INDEX(Items!$D$2:$D$26,MATCH($A44,Items!$A$2:$A$26,0))</f>
        <v>18</v>
      </c>
      <c r="F44" s="16" t="n">
        <f aca="false">INDEX(Items!$E$2:$E$26,MATCH($A44,Items!$A$2:$A$26,0))</f>
        <v>3671</v>
      </c>
      <c r="G44" s="17" t="n">
        <f aca="false">IF($B44="P1 Baseline",Parameters!$B$4,Parameters!$C$4)</f>
        <v>1</v>
      </c>
      <c r="H44" s="17" t="n">
        <f aca="false">IF($B44="P1 Baseline",Parameters!$B$5,Parameters!$C$5)</f>
        <v>1</v>
      </c>
      <c r="I44" s="9" t="n">
        <f aca="false">G44+H44</f>
        <v>2</v>
      </c>
      <c r="J44" s="17" t="n">
        <f aca="false">IF($B44="P1 Baseline",Parameters!$B$7,U44)</f>
        <v>3</v>
      </c>
      <c r="K44" s="18" t="n">
        <f aca="false">E44*H44</f>
        <v>18</v>
      </c>
      <c r="L44" s="18" t="n">
        <f aca="false">E44*I44</f>
        <v>36</v>
      </c>
      <c r="M44" s="18" t="n">
        <f aca="false">E44*J44</f>
        <v>54</v>
      </c>
      <c r="N44" s="18" t="n">
        <f aca="false">E44*MAX(J44-I44,0)</f>
        <v>18</v>
      </c>
      <c r="O44" s="18" t="n">
        <f aca="false">M44-E44*G44</f>
        <v>36</v>
      </c>
      <c r="P44" s="18" t="n">
        <f aca="false">K44</f>
        <v>18</v>
      </c>
      <c r="Q44" s="18" t="n">
        <f aca="false">(O44+P44)/2</f>
        <v>27</v>
      </c>
      <c r="R44" s="17" t="n">
        <f aca="false">IF(N44&gt;0,Parameters!$B$9*E44/N44,0)</f>
        <v>12</v>
      </c>
      <c r="S44" s="18" t="n">
        <f aca="false">Q44*F44</f>
        <v>99117</v>
      </c>
      <c r="T44" s="15" t="n">
        <f aca="false">S44*Parameters!$B$8</f>
        <v>19823.4</v>
      </c>
      <c r="U44" s="17" t="n">
        <f aca="false">INDEX(Items!$F$2:$F$26,MATCH($A44,Items!$A$2:$A$26,0))</f>
        <v>3</v>
      </c>
    </row>
    <row r="45" customFormat="false" ht="15" hidden="false" customHeight="false" outlineLevel="0" collapsed="false">
      <c r="A45" s="6" t="s">
        <v>83</v>
      </c>
      <c r="B45" s="6" t="s">
        <v>113</v>
      </c>
      <c r="C45" s="14" t="str">
        <f aca="false">INDEX(Items!$B$2:$B$26,MATCH($A45,Items!$A$2:$A$26,0))</f>
        <v>Lab Consumables Item 01</v>
      </c>
      <c r="D45" s="14" t="str">
        <f aca="false">INDEX(Items!$C$2:$C$26,MATCH($A45,Items!$A$2:$A$26,0))</f>
        <v>Lab Consumables</v>
      </c>
      <c r="E45" s="15" t="n">
        <f aca="false">INDEX(Items!$D$2:$D$26,MATCH($A45,Items!$A$2:$A$26,0))</f>
        <v>1710</v>
      </c>
      <c r="F45" s="16" t="n">
        <f aca="false">INDEX(Items!$E$2:$E$26,MATCH($A45,Items!$A$2:$A$26,0))</f>
        <v>25.5</v>
      </c>
      <c r="G45" s="17" t="n">
        <f aca="false">IF($B45="P1 Baseline",Parameters!$B$4,Parameters!$C$4)</f>
        <v>1</v>
      </c>
      <c r="H45" s="17" t="n">
        <f aca="false">IF($B45="P1 Baseline",Parameters!$B$5,Parameters!$C$5)</f>
        <v>1</v>
      </c>
      <c r="I45" s="9" t="n">
        <f aca="false">G45+H45</f>
        <v>2</v>
      </c>
      <c r="J45" s="17" t="n">
        <f aca="false">IF($B45="P1 Baseline",Parameters!$B$7,U45)</f>
        <v>3</v>
      </c>
      <c r="K45" s="18" t="n">
        <f aca="false">E45*H45</f>
        <v>1710</v>
      </c>
      <c r="L45" s="18" t="n">
        <f aca="false">E45*I45</f>
        <v>3420</v>
      </c>
      <c r="M45" s="18" t="n">
        <f aca="false">E45*J45</f>
        <v>5130</v>
      </c>
      <c r="N45" s="18" t="n">
        <f aca="false">E45*MAX(J45-I45,0)</f>
        <v>1710</v>
      </c>
      <c r="O45" s="18" t="n">
        <f aca="false">M45-E45*G45</f>
        <v>3420</v>
      </c>
      <c r="P45" s="18" t="n">
        <f aca="false">K45</f>
        <v>1710</v>
      </c>
      <c r="Q45" s="18" t="n">
        <f aca="false">(O45+P45)/2</f>
        <v>2565</v>
      </c>
      <c r="R45" s="17" t="n">
        <f aca="false">IF(N45&gt;0,Parameters!$B$9*E45/N45,0)</f>
        <v>12</v>
      </c>
      <c r="S45" s="18" t="n">
        <f aca="false">Q45*F45</f>
        <v>65407.5</v>
      </c>
      <c r="T45" s="15" t="n">
        <f aca="false">S45*Parameters!$B$8</f>
        <v>13081.5</v>
      </c>
      <c r="U45" s="17" t="n">
        <f aca="false">INDEX(Items!$F$2:$F$26,MATCH($A45,Items!$A$2:$A$26,0))</f>
        <v>3</v>
      </c>
    </row>
    <row r="46" customFormat="false" ht="15" hidden="false" customHeight="false" outlineLevel="0" collapsed="false">
      <c r="A46" s="6" t="s">
        <v>86</v>
      </c>
      <c r="B46" s="6" t="s">
        <v>113</v>
      </c>
      <c r="C46" s="14" t="str">
        <f aca="false">INDEX(Items!$B$2:$B$26,MATCH($A46,Items!$A$2:$A$26,0))</f>
        <v>Lab Consumables Item 02</v>
      </c>
      <c r="D46" s="14" t="str">
        <f aca="false">INDEX(Items!$C$2:$C$26,MATCH($A46,Items!$A$2:$A$26,0))</f>
        <v>Lab Consumables</v>
      </c>
      <c r="E46" s="15" t="n">
        <f aca="false">INDEX(Items!$D$2:$D$26,MATCH($A46,Items!$A$2:$A$26,0))</f>
        <v>1760</v>
      </c>
      <c r="F46" s="16" t="n">
        <f aca="false">INDEX(Items!$E$2:$E$26,MATCH($A46,Items!$A$2:$A$26,0))</f>
        <v>23.9</v>
      </c>
      <c r="G46" s="17" t="n">
        <f aca="false">IF($B46="P1 Baseline",Parameters!$B$4,Parameters!$C$4)</f>
        <v>1</v>
      </c>
      <c r="H46" s="17" t="n">
        <f aca="false">IF($B46="P1 Baseline",Parameters!$B$5,Parameters!$C$5)</f>
        <v>1</v>
      </c>
      <c r="I46" s="9" t="n">
        <f aca="false">G46+H46</f>
        <v>2</v>
      </c>
      <c r="J46" s="17" t="n">
        <f aca="false">IF($B46="P1 Baseline",Parameters!$B$7,U46)</f>
        <v>3</v>
      </c>
      <c r="K46" s="18" t="n">
        <f aca="false">E46*H46</f>
        <v>1760</v>
      </c>
      <c r="L46" s="18" t="n">
        <f aca="false">E46*I46</f>
        <v>3520</v>
      </c>
      <c r="M46" s="18" t="n">
        <f aca="false">E46*J46</f>
        <v>5280</v>
      </c>
      <c r="N46" s="18" t="n">
        <f aca="false">E46*MAX(J46-I46,0)</f>
        <v>1760</v>
      </c>
      <c r="O46" s="18" t="n">
        <f aca="false">M46-E46*G46</f>
        <v>3520</v>
      </c>
      <c r="P46" s="18" t="n">
        <f aca="false">K46</f>
        <v>1760</v>
      </c>
      <c r="Q46" s="18" t="n">
        <f aca="false">(O46+P46)/2</f>
        <v>2640</v>
      </c>
      <c r="R46" s="17" t="n">
        <f aca="false">IF(N46&gt;0,Parameters!$B$9*E46/N46,0)</f>
        <v>12</v>
      </c>
      <c r="S46" s="18" t="n">
        <f aca="false">Q46*F46</f>
        <v>63096</v>
      </c>
      <c r="T46" s="15" t="n">
        <f aca="false">S46*Parameters!$B$8</f>
        <v>12619.2</v>
      </c>
      <c r="U46" s="17" t="n">
        <f aca="false">INDEX(Items!$F$2:$F$26,MATCH($A46,Items!$A$2:$A$26,0))</f>
        <v>3</v>
      </c>
    </row>
    <row r="47" customFormat="false" ht="15" hidden="false" customHeight="false" outlineLevel="0" collapsed="false">
      <c r="A47" s="6" t="s">
        <v>88</v>
      </c>
      <c r="B47" s="6" t="s">
        <v>113</v>
      </c>
      <c r="C47" s="14" t="str">
        <f aca="false">INDEX(Items!$B$2:$B$26,MATCH($A47,Items!$A$2:$A$26,0))</f>
        <v>Lab Consumables Item 03</v>
      </c>
      <c r="D47" s="14" t="str">
        <f aca="false">INDEX(Items!$C$2:$C$26,MATCH($A47,Items!$A$2:$A$26,0))</f>
        <v>Lab Consumables</v>
      </c>
      <c r="E47" s="15" t="n">
        <f aca="false">INDEX(Items!$D$2:$D$26,MATCH($A47,Items!$A$2:$A$26,0))</f>
        <v>1500</v>
      </c>
      <c r="F47" s="16" t="n">
        <f aca="false">INDEX(Items!$E$2:$E$26,MATCH($A47,Items!$A$2:$A$26,0))</f>
        <v>3.7</v>
      </c>
      <c r="G47" s="17" t="n">
        <f aca="false">IF($B47="P1 Baseline",Parameters!$B$4,Parameters!$C$4)</f>
        <v>1</v>
      </c>
      <c r="H47" s="17" t="n">
        <f aca="false">IF($B47="P1 Baseline",Parameters!$B$5,Parameters!$C$5)</f>
        <v>1</v>
      </c>
      <c r="I47" s="9" t="n">
        <f aca="false">G47+H47</f>
        <v>2</v>
      </c>
      <c r="J47" s="17" t="n">
        <f aca="false">IF($B47="P1 Baseline",Parameters!$B$7,U47)</f>
        <v>3</v>
      </c>
      <c r="K47" s="18" t="n">
        <f aca="false">E47*H47</f>
        <v>1500</v>
      </c>
      <c r="L47" s="18" t="n">
        <f aca="false">E47*I47</f>
        <v>3000</v>
      </c>
      <c r="M47" s="18" t="n">
        <f aca="false">E47*J47</f>
        <v>4500</v>
      </c>
      <c r="N47" s="18" t="n">
        <f aca="false">E47*MAX(J47-I47,0)</f>
        <v>1500</v>
      </c>
      <c r="O47" s="18" t="n">
        <f aca="false">M47-E47*G47</f>
        <v>3000</v>
      </c>
      <c r="P47" s="18" t="n">
        <f aca="false">K47</f>
        <v>1500</v>
      </c>
      <c r="Q47" s="18" t="n">
        <f aca="false">(O47+P47)/2</f>
        <v>2250</v>
      </c>
      <c r="R47" s="17" t="n">
        <f aca="false">IF(N47&gt;0,Parameters!$B$9*E47/N47,0)</f>
        <v>12</v>
      </c>
      <c r="S47" s="18" t="n">
        <f aca="false">Q47*F47</f>
        <v>8325</v>
      </c>
      <c r="T47" s="15" t="n">
        <f aca="false">S47*Parameters!$B$8</f>
        <v>1665</v>
      </c>
      <c r="U47" s="17" t="n">
        <f aca="false">INDEX(Items!$F$2:$F$26,MATCH($A47,Items!$A$2:$A$26,0))</f>
        <v>3</v>
      </c>
    </row>
    <row r="48" customFormat="false" ht="15" hidden="false" customHeight="false" outlineLevel="0" collapsed="false">
      <c r="A48" s="6" t="s">
        <v>90</v>
      </c>
      <c r="B48" s="6" t="s">
        <v>113</v>
      </c>
      <c r="C48" s="14" t="str">
        <f aca="false">INDEX(Items!$B$2:$B$26,MATCH($A48,Items!$A$2:$A$26,0))</f>
        <v>Lab Consumables Item 04</v>
      </c>
      <c r="D48" s="14" t="str">
        <f aca="false">INDEX(Items!$C$2:$C$26,MATCH($A48,Items!$A$2:$A$26,0))</f>
        <v>Lab Consumables</v>
      </c>
      <c r="E48" s="15" t="n">
        <f aca="false">INDEX(Items!$D$2:$D$26,MATCH($A48,Items!$A$2:$A$26,0))</f>
        <v>690</v>
      </c>
      <c r="F48" s="16" t="n">
        <f aca="false">INDEX(Items!$E$2:$E$26,MATCH($A48,Items!$A$2:$A$26,0))</f>
        <v>13</v>
      </c>
      <c r="G48" s="17" t="n">
        <f aca="false">IF($B48="P1 Baseline",Parameters!$B$4,Parameters!$C$4)</f>
        <v>1</v>
      </c>
      <c r="H48" s="17" t="n">
        <f aca="false">IF($B48="P1 Baseline",Parameters!$B$5,Parameters!$C$5)</f>
        <v>1</v>
      </c>
      <c r="I48" s="9" t="n">
        <f aca="false">G48+H48</f>
        <v>2</v>
      </c>
      <c r="J48" s="17" t="n">
        <f aca="false">IF($B48="P1 Baseline",Parameters!$B$7,U48)</f>
        <v>3</v>
      </c>
      <c r="K48" s="18" t="n">
        <f aca="false">E48*H48</f>
        <v>690</v>
      </c>
      <c r="L48" s="18" t="n">
        <f aca="false">E48*I48</f>
        <v>1380</v>
      </c>
      <c r="M48" s="18" t="n">
        <f aca="false">E48*J48</f>
        <v>2070</v>
      </c>
      <c r="N48" s="18" t="n">
        <f aca="false">E48*MAX(J48-I48,0)</f>
        <v>690</v>
      </c>
      <c r="O48" s="18" t="n">
        <f aca="false">M48-E48*G48</f>
        <v>1380</v>
      </c>
      <c r="P48" s="18" t="n">
        <f aca="false">K48</f>
        <v>690</v>
      </c>
      <c r="Q48" s="18" t="n">
        <f aca="false">(O48+P48)/2</f>
        <v>1035</v>
      </c>
      <c r="R48" s="17" t="n">
        <f aca="false">IF(N48&gt;0,Parameters!$B$9*E48/N48,0)</f>
        <v>12</v>
      </c>
      <c r="S48" s="18" t="n">
        <f aca="false">Q48*F48</f>
        <v>13455</v>
      </c>
      <c r="T48" s="15" t="n">
        <f aca="false">S48*Parameters!$B$8</f>
        <v>2691</v>
      </c>
      <c r="U48" s="17" t="n">
        <f aca="false">INDEX(Items!$F$2:$F$26,MATCH($A48,Items!$A$2:$A$26,0))</f>
        <v>3</v>
      </c>
    </row>
    <row r="49" customFormat="false" ht="15" hidden="false" customHeight="false" outlineLevel="0" collapsed="false">
      <c r="A49" s="6" t="s">
        <v>92</v>
      </c>
      <c r="B49" s="6" t="s">
        <v>113</v>
      </c>
      <c r="C49" s="14" t="str">
        <f aca="false">INDEX(Items!$B$2:$B$26,MATCH($A49,Items!$A$2:$A$26,0))</f>
        <v>General Consumables Item 01</v>
      </c>
      <c r="D49" s="14" t="str">
        <f aca="false">INDEX(Items!$C$2:$C$26,MATCH($A49,Items!$A$2:$A$26,0))</f>
        <v>General Consumables</v>
      </c>
      <c r="E49" s="15" t="n">
        <f aca="false">INDEX(Items!$D$2:$D$26,MATCH($A49,Items!$A$2:$A$26,0))</f>
        <v>700</v>
      </c>
      <c r="F49" s="16" t="n">
        <f aca="false">INDEX(Items!$E$2:$E$26,MATCH($A49,Items!$A$2:$A$26,0))</f>
        <v>4.3</v>
      </c>
      <c r="G49" s="17" t="n">
        <f aca="false">IF($B49="P1 Baseline",Parameters!$B$4,Parameters!$C$4)</f>
        <v>1</v>
      </c>
      <c r="H49" s="17" t="n">
        <f aca="false">IF($B49="P1 Baseline",Parameters!$B$5,Parameters!$C$5)</f>
        <v>1</v>
      </c>
      <c r="I49" s="9" t="n">
        <f aca="false">G49+H49</f>
        <v>2</v>
      </c>
      <c r="J49" s="17" t="n">
        <f aca="false">IF($B49="P1 Baseline",Parameters!$B$7,U49)</f>
        <v>4</v>
      </c>
      <c r="K49" s="18" t="n">
        <f aca="false">E49*H49</f>
        <v>700</v>
      </c>
      <c r="L49" s="18" t="n">
        <f aca="false">E49*I49</f>
        <v>1400</v>
      </c>
      <c r="M49" s="18" t="n">
        <f aca="false">E49*J49</f>
        <v>2800</v>
      </c>
      <c r="N49" s="18" t="n">
        <f aca="false">E49*MAX(J49-I49,0)</f>
        <v>1400</v>
      </c>
      <c r="O49" s="18" t="n">
        <f aca="false">M49-E49*G49</f>
        <v>2100</v>
      </c>
      <c r="P49" s="18" t="n">
        <f aca="false">K49</f>
        <v>700</v>
      </c>
      <c r="Q49" s="18" t="n">
        <f aca="false">(O49+P49)/2</f>
        <v>1400</v>
      </c>
      <c r="R49" s="17" t="n">
        <f aca="false">IF(N49&gt;0,Parameters!$B$9*E49/N49,0)</f>
        <v>6</v>
      </c>
      <c r="S49" s="18" t="n">
        <f aca="false">Q49*F49</f>
        <v>6020</v>
      </c>
      <c r="T49" s="15" t="n">
        <f aca="false">S49*Parameters!$B$8</f>
        <v>1204</v>
      </c>
      <c r="U49" s="17" t="n">
        <f aca="false">INDEX(Items!$F$2:$F$26,MATCH($A49,Items!$A$2:$A$26,0))</f>
        <v>4</v>
      </c>
    </row>
    <row r="50" customFormat="false" ht="15" hidden="false" customHeight="false" outlineLevel="0" collapsed="false">
      <c r="A50" s="6" t="s">
        <v>95</v>
      </c>
      <c r="B50" s="6" t="s">
        <v>113</v>
      </c>
      <c r="C50" s="14" t="str">
        <f aca="false">INDEX(Items!$B$2:$B$26,MATCH($A50,Items!$A$2:$A$26,0))</f>
        <v>General Consumables Item 02</v>
      </c>
      <c r="D50" s="14" t="str">
        <f aca="false">INDEX(Items!$C$2:$C$26,MATCH($A50,Items!$A$2:$A$26,0))</f>
        <v>General Consumables</v>
      </c>
      <c r="E50" s="15" t="n">
        <f aca="false">INDEX(Items!$D$2:$D$26,MATCH($A50,Items!$A$2:$A$26,0))</f>
        <v>750</v>
      </c>
      <c r="F50" s="16" t="n">
        <f aca="false">INDEX(Items!$E$2:$E$26,MATCH($A50,Items!$A$2:$A$26,0))</f>
        <v>4.9</v>
      </c>
      <c r="G50" s="17" t="n">
        <f aca="false">IF($B50="P1 Baseline",Parameters!$B$4,Parameters!$C$4)</f>
        <v>1</v>
      </c>
      <c r="H50" s="17" t="n">
        <f aca="false">IF($B50="P1 Baseline",Parameters!$B$5,Parameters!$C$5)</f>
        <v>1</v>
      </c>
      <c r="I50" s="9" t="n">
        <f aca="false">G50+H50</f>
        <v>2</v>
      </c>
      <c r="J50" s="17" t="n">
        <f aca="false">IF($B50="P1 Baseline",Parameters!$B$7,U50)</f>
        <v>4</v>
      </c>
      <c r="K50" s="18" t="n">
        <f aca="false">E50*H50</f>
        <v>750</v>
      </c>
      <c r="L50" s="18" t="n">
        <f aca="false">E50*I50</f>
        <v>1500</v>
      </c>
      <c r="M50" s="18" t="n">
        <f aca="false">E50*J50</f>
        <v>3000</v>
      </c>
      <c r="N50" s="18" t="n">
        <f aca="false">E50*MAX(J50-I50,0)</f>
        <v>1500</v>
      </c>
      <c r="O50" s="18" t="n">
        <f aca="false">M50-E50*G50</f>
        <v>2250</v>
      </c>
      <c r="P50" s="18" t="n">
        <f aca="false">K50</f>
        <v>750</v>
      </c>
      <c r="Q50" s="18" t="n">
        <f aca="false">(O50+P50)/2</f>
        <v>1500</v>
      </c>
      <c r="R50" s="17" t="n">
        <f aca="false">IF(N50&gt;0,Parameters!$B$9*E50/N50,0)</f>
        <v>6</v>
      </c>
      <c r="S50" s="18" t="n">
        <f aca="false">Q50*F50</f>
        <v>7350</v>
      </c>
      <c r="T50" s="15" t="n">
        <f aca="false">S50*Parameters!$B$8</f>
        <v>1470</v>
      </c>
      <c r="U50" s="17" t="n">
        <f aca="false">INDEX(Items!$F$2:$F$26,MATCH($A50,Items!$A$2:$A$26,0))</f>
        <v>4</v>
      </c>
    </row>
    <row r="51" customFormat="false" ht="15" hidden="false" customHeight="false" outlineLevel="0" collapsed="false">
      <c r="A51" s="6" t="s">
        <v>97</v>
      </c>
      <c r="B51" s="6" t="s">
        <v>113</v>
      </c>
      <c r="C51" s="14" t="str">
        <f aca="false">INDEX(Items!$B$2:$B$26,MATCH($A51,Items!$A$2:$A$26,0))</f>
        <v>General Consumables Item 03</v>
      </c>
      <c r="D51" s="14" t="str">
        <f aca="false">INDEX(Items!$C$2:$C$26,MATCH($A51,Items!$A$2:$A$26,0))</f>
        <v>General Consumables</v>
      </c>
      <c r="E51" s="15" t="n">
        <f aca="false">INDEX(Items!$D$2:$D$26,MATCH($A51,Items!$A$2:$A$26,0))</f>
        <v>2090</v>
      </c>
      <c r="F51" s="16" t="n">
        <f aca="false">INDEX(Items!$E$2:$E$26,MATCH($A51,Items!$A$2:$A$26,0))</f>
        <v>6.1</v>
      </c>
      <c r="G51" s="17" t="n">
        <f aca="false">IF($B51="P1 Baseline",Parameters!$B$4,Parameters!$C$4)</f>
        <v>1</v>
      </c>
      <c r="H51" s="17" t="n">
        <f aca="false">IF($B51="P1 Baseline",Parameters!$B$5,Parameters!$C$5)</f>
        <v>1</v>
      </c>
      <c r="I51" s="9" t="n">
        <f aca="false">G51+H51</f>
        <v>2</v>
      </c>
      <c r="J51" s="17" t="n">
        <f aca="false">IF($B51="P1 Baseline",Parameters!$B$7,U51)</f>
        <v>4</v>
      </c>
      <c r="K51" s="18" t="n">
        <f aca="false">E51*H51</f>
        <v>2090</v>
      </c>
      <c r="L51" s="18" t="n">
        <f aca="false">E51*I51</f>
        <v>4180</v>
      </c>
      <c r="M51" s="18" t="n">
        <f aca="false">E51*J51</f>
        <v>8360</v>
      </c>
      <c r="N51" s="18" t="n">
        <f aca="false">E51*MAX(J51-I51,0)</f>
        <v>4180</v>
      </c>
      <c r="O51" s="18" t="n">
        <f aca="false">M51-E51*G51</f>
        <v>6270</v>
      </c>
      <c r="P51" s="18" t="n">
        <f aca="false">K51</f>
        <v>2090</v>
      </c>
      <c r="Q51" s="18" t="n">
        <f aca="false">(O51+P51)/2</f>
        <v>4180</v>
      </c>
      <c r="R51" s="17" t="n">
        <f aca="false">IF(N51&gt;0,Parameters!$B$9*E51/N51,0)</f>
        <v>6</v>
      </c>
      <c r="S51" s="18" t="n">
        <f aca="false">Q51*F51</f>
        <v>25498</v>
      </c>
      <c r="T51" s="15" t="n">
        <f aca="false">S51*Parameters!$B$8</f>
        <v>5099.6</v>
      </c>
      <c r="U51" s="17" t="n">
        <f aca="false">INDEX(Items!$F$2:$F$26,MATCH($A51,Items!$A$2:$A$26,0))</f>
        <v>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3" min="2" style="0" width="18"/>
    <col collapsed="false" customWidth="true" hidden="false" outlineLevel="0" max="4" min="4" style="0" width="12"/>
  </cols>
  <sheetData>
    <row r="1" customFormat="false" ht="17.35" hidden="false" customHeight="false" outlineLevel="0" collapsed="false">
      <c r="A1" s="1" t="s">
        <v>114</v>
      </c>
    </row>
    <row r="3" customFormat="false" ht="15" hidden="false" customHeight="false" outlineLevel="0" collapsed="false">
      <c r="A3" s="5" t="s">
        <v>115</v>
      </c>
      <c r="B3" s="5" t="s">
        <v>112</v>
      </c>
      <c r="C3" s="5" t="s">
        <v>113</v>
      </c>
      <c r="D3" s="5" t="s">
        <v>116</v>
      </c>
    </row>
    <row r="4" customFormat="false" ht="15" hidden="false" customHeight="false" outlineLevel="0" collapsed="false">
      <c r="A4" s="6" t="s">
        <v>107</v>
      </c>
      <c r="B4" s="15" t="n">
        <f aca="false">SUMIFS(Policy_Results!$Q$2:$Q$51,Policy_Results!$B$2:$B$51,"P1 Baseline")</f>
        <v>48630</v>
      </c>
      <c r="C4" s="15" t="n">
        <f aca="false">SUMIFS(Policy_Results!$Q$2:$Q$51,Policy_Results!$B$2:$B$51,"P2 Optimized")</f>
        <v>28280</v>
      </c>
      <c r="D4" s="19" t="n">
        <f aca="false">IF(B4=0,0,C4/B4-1)</f>
        <v>-0.418465967509768</v>
      </c>
    </row>
    <row r="5" customFormat="false" ht="15" hidden="false" customHeight="false" outlineLevel="0" collapsed="false">
      <c r="A5" s="6" t="s">
        <v>109</v>
      </c>
      <c r="B5" s="15" t="n">
        <f aca="false">SUMIFS(Policy_Results!$S$2:$S$51,Policy_Results!$B$2:$B$51,"P1 Baseline")</f>
        <v>2814753</v>
      </c>
      <c r="C5" s="15" t="n">
        <f aca="false">SUMIFS(Policy_Results!$S$2:$S$51,Policy_Results!$B$2:$B$51,"P2 Optimized")</f>
        <v>1533708.5</v>
      </c>
      <c r="D5" s="19" t="n">
        <f aca="false">IF(B5=0,0,C5/B5-1)</f>
        <v>-0.455117909102504</v>
      </c>
    </row>
    <row r="6" customFormat="false" ht="15" hidden="false" customHeight="false" outlineLevel="0" collapsed="false">
      <c r="A6" s="6" t="s">
        <v>110</v>
      </c>
      <c r="B6" s="15" t="n">
        <f aca="false">SUMIFS(Policy_Results!$T$2:$T$51,Policy_Results!$B$2:$B$51,"P1 Baseline")</f>
        <v>562950.6</v>
      </c>
      <c r="C6" s="15" t="n">
        <f aca="false">SUMIFS(Policy_Results!$T$2:$T$51,Policy_Results!$B$2:$B$51,"P2 Optimized")</f>
        <v>306741.7</v>
      </c>
      <c r="D6" s="19" t="n">
        <f aca="false">IF(B6=0,0,C6/B6-1)</f>
        <v>-0.455117909102504</v>
      </c>
    </row>
    <row r="7" customFormat="false" ht="15" hidden="false" customHeight="false" outlineLevel="0" collapsed="false">
      <c r="A7" s="6" t="s">
        <v>101</v>
      </c>
      <c r="B7" s="15" t="n">
        <f aca="false">SUMIFS(Policy_Results!$K$2:$K$51,Policy_Results!$B$2:$B$51,"P1 Baseline")</f>
        <v>32420</v>
      </c>
      <c r="C7" s="15" t="n">
        <f aca="false">SUMIFS(Policy_Results!$K$2:$K$51,Policy_Results!$B$2:$B$51,"P2 Optimized")</f>
        <v>16210</v>
      </c>
      <c r="D7" s="19" t="n">
        <f aca="false">IF(B7=0,0,C7/B7-1)</f>
        <v>-0.5</v>
      </c>
    </row>
    <row r="8" customFormat="false" ht="15" hidden="false" customHeight="false" outlineLevel="0" collapsed="false">
      <c r="A8" s="6" t="s">
        <v>117</v>
      </c>
      <c r="B8" s="17" t="n">
        <f aca="false">AVERAGEIFS(Policy_Results!$R$2:$R$51,Policy_Results!$B$2:$B$51,"P1 Baseline")</f>
        <v>6</v>
      </c>
      <c r="C8" s="17" t="n">
        <f aca="false">AVERAGEIFS(Policy_Results!$R$2:$R$51,Policy_Results!$B$2:$B$51,"P2 Optimized")</f>
        <v>8.64</v>
      </c>
      <c r="D8" s="19" t="n">
        <f aca="false">IF(B8=0,0,C8/B8-1)</f>
        <v>0.44</v>
      </c>
    </row>
    <row r="11" customFormat="false" ht="15" hidden="false" customHeight="false" outlineLevel="0" collapsed="false">
      <c r="A11" s="5" t="s">
        <v>118</v>
      </c>
      <c r="B11" s="5" t="s">
        <v>112</v>
      </c>
      <c r="C11" s="5" t="s">
        <v>113</v>
      </c>
      <c r="D11" s="5" t="s">
        <v>116</v>
      </c>
    </row>
    <row r="12" customFormat="false" ht="15" hidden="false" customHeight="false" outlineLevel="0" collapsed="false">
      <c r="A12" s="6" t="s">
        <v>119</v>
      </c>
      <c r="B12" s="20" t="n">
        <f aca="false">COUNTIFS(Policy_Results!$B$2:$B$51,"P1 Baseline",Policy_Results!$U$2:$U$51,3)</f>
        <v>13</v>
      </c>
      <c r="C12" s="20" t="n">
        <f aca="false">COUNTIFS(Policy_Results!$B$2:$B$51,"P2 Optimized",Policy_Results!$U$2:$U$51,3)</f>
        <v>13</v>
      </c>
      <c r="D12" s="21"/>
    </row>
    <row r="13" customFormat="false" ht="15" hidden="false" customHeight="false" outlineLevel="0" collapsed="false">
      <c r="A13" s="6" t="s">
        <v>107</v>
      </c>
      <c r="B13" s="15" t="n">
        <f aca="false">SUMIFS(Policy_Results!$Q$2:$Q$51,Policy_Results!$B$2:$B$51,"P1 Baseline",Policy_Results!$U$2:$U$51,3)</f>
        <v>29220</v>
      </c>
      <c r="C13" s="15" t="n">
        <f aca="false">SUMIFS(Policy_Results!$Q$2:$Q$51,Policy_Results!$B$2:$B$51,"P2 Optimized",Policy_Results!$U$2:$U$51,3)</f>
        <v>14610</v>
      </c>
      <c r="D13" s="19" t="n">
        <f aca="false">IF(B13=0,0,C13/B13-1)</f>
        <v>-0.5</v>
      </c>
    </row>
    <row r="14" customFormat="false" ht="15" hidden="false" customHeight="false" outlineLevel="0" collapsed="false">
      <c r="A14" s="6" t="s">
        <v>109</v>
      </c>
      <c r="B14" s="15" t="n">
        <f aca="false">SUMIFS(Policy_Results!$S$2:$S$51,Policy_Results!$B$2:$B$51,"P1 Baseline",Policy_Results!$U$2:$U$51,3)</f>
        <v>2243781</v>
      </c>
      <c r="C14" s="15" t="n">
        <f aca="false">SUMIFS(Policy_Results!$S$2:$S$51,Policy_Results!$B$2:$B$51,"P2 Optimized",Policy_Results!$U$2:$U$51,3)</f>
        <v>1121890.5</v>
      </c>
      <c r="D14" s="19" t="n">
        <f aca="false">IF(B14=0,0,C14/B14-1)</f>
        <v>-0.5</v>
      </c>
    </row>
    <row r="15" customFormat="false" ht="15" hidden="false" customHeight="false" outlineLevel="0" collapsed="false">
      <c r="A15" s="6" t="s">
        <v>110</v>
      </c>
      <c r="B15" s="15" t="n">
        <f aca="false">SUMIFS(Policy_Results!$T$2:$T$51,Policy_Results!$B$2:$B$51,"P1 Baseline",Policy_Results!$U$2:$U$51,3)</f>
        <v>448756.2</v>
      </c>
      <c r="C15" s="15" t="n">
        <f aca="false">SUMIFS(Policy_Results!$T$2:$T$51,Policy_Results!$B$2:$B$51,"P2 Optimized",Policy_Results!$U$2:$U$51,3)</f>
        <v>224378.1</v>
      </c>
      <c r="D15" s="19" t="n">
        <f aca="false">IF(B15=0,0,C15/B15-1)</f>
        <v>-0.5</v>
      </c>
    </row>
    <row r="16" customFormat="false" ht="15" hidden="false" customHeight="false" outlineLevel="0" collapsed="false">
      <c r="A16" s="6" t="s">
        <v>117</v>
      </c>
      <c r="B16" s="17" t="n">
        <f aca="false">AVERAGEIFS(Policy_Results!$R$2:$R$51,Policy_Results!$B$2:$B$51,"P1 Baseline",Policy_Results!$U$2:$U$51,3)</f>
        <v>6</v>
      </c>
      <c r="C16" s="17" t="n">
        <f aca="false">AVERAGEIFS(Policy_Results!$R$2:$R$51,Policy_Results!$B$2:$B$51,"P2 Optimized",Policy_Results!$U$2:$U$51,3)</f>
        <v>12</v>
      </c>
      <c r="D16" s="19" t="n">
        <f aca="false">IF(B16=0,0,C16/B16-1)</f>
        <v>1</v>
      </c>
    </row>
    <row r="19" customFormat="false" ht="15" hidden="false" customHeight="false" outlineLevel="0" collapsed="false">
      <c r="A19" s="5" t="s">
        <v>120</v>
      </c>
      <c r="B19" s="5" t="s">
        <v>112</v>
      </c>
      <c r="C19" s="5" t="s">
        <v>113</v>
      </c>
      <c r="D19" s="5" t="s">
        <v>116</v>
      </c>
    </row>
    <row r="20" customFormat="false" ht="15" hidden="false" customHeight="false" outlineLevel="0" collapsed="false">
      <c r="A20" s="6" t="s">
        <v>45</v>
      </c>
      <c r="B20" s="15" t="n">
        <f aca="false">SUMIFS(Policy_Results!$S$2:$S$51,Policy_Results!$B$2:$B$51,"P1 Baseline",Policy_Results!$D$2:$D$51,$A20)</f>
        <v>454560</v>
      </c>
      <c r="C20" s="15" t="n">
        <f aca="false">SUMIFS(Policy_Results!$S$2:$S$51,Policy_Results!$B$2:$B$51,"P2 Optimized",Policy_Results!$D$2:$D$51,$A20)</f>
        <v>227280</v>
      </c>
      <c r="D20" s="19" t="n">
        <f aca="false">IF(B20=0,0,C20/B20-1)</f>
        <v>-0.5</v>
      </c>
    </row>
    <row r="21" customFormat="false" ht="15" hidden="false" customHeight="false" outlineLevel="0" collapsed="false">
      <c r="A21" s="6" t="s">
        <v>56</v>
      </c>
      <c r="B21" s="15" t="n">
        <f aca="false">SUMIFS(Policy_Results!$S$2:$S$51,Policy_Results!$B$2:$B$51,"P1 Baseline",Policy_Results!$D$2:$D$51,$A21)</f>
        <v>419160</v>
      </c>
      <c r="C21" s="15" t="n">
        <f aca="false">SUMIFS(Policy_Results!$S$2:$S$51,Policy_Results!$B$2:$B$51,"P2 Optimized",Policy_Results!$D$2:$D$51,$A21)</f>
        <v>279440</v>
      </c>
      <c r="D21" s="19" t="n">
        <f aca="false">IF(B21=0,0,C21/B21-1)</f>
        <v>-0.333333333333333</v>
      </c>
    </row>
    <row r="22" customFormat="false" ht="15" hidden="false" customHeight="false" outlineLevel="0" collapsed="false">
      <c r="A22" s="6" t="s">
        <v>67</v>
      </c>
      <c r="B22" s="15" t="n">
        <f aca="false">SUMIFS(Policy_Results!$S$2:$S$51,Policy_Results!$B$2:$B$51,"P1 Baseline",Policy_Results!$D$2:$D$51,$A22)</f>
        <v>93510</v>
      </c>
      <c r="C22" s="15" t="n">
        <f aca="false">SUMIFS(Policy_Results!$S$2:$S$51,Policy_Results!$B$2:$B$51,"P2 Optimized",Policy_Results!$D$2:$D$51,$A22)</f>
        <v>93510</v>
      </c>
      <c r="D22" s="19" t="n">
        <f aca="false">IF(B22=0,0,C22/B22-1)</f>
        <v>0</v>
      </c>
    </row>
    <row r="23" customFormat="false" ht="15" hidden="false" customHeight="false" outlineLevel="0" collapsed="false">
      <c r="A23" s="6" t="s">
        <v>76</v>
      </c>
      <c r="B23" s="15" t="n">
        <f aca="false">SUMIFS(Policy_Results!$S$2:$S$51,Policy_Results!$B$2:$B$51,"P1 Baseline",Policy_Results!$D$2:$D$51,$A23)</f>
        <v>1488654</v>
      </c>
      <c r="C23" s="15" t="n">
        <f aca="false">SUMIFS(Policy_Results!$S$2:$S$51,Policy_Results!$B$2:$B$51,"P2 Optimized",Policy_Results!$D$2:$D$51,$A23)</f>
        <v>744327</v>
      </c>
      <c r="D23" s="19" t="n">
        <f aca="false">IF(B23=0,0,C23/B23-1)</f>
        <v>-0.5</v>
      </c>
    </row>
    <row r="24" customFormat="false" ht="15" hidden="false" customHeight="false" outlineLevel="0" collapsed="false">
      <c r="A24" s="6" t="s">
        <v>85</v>
      </c>
      <c r="B24" s="15" t="n">
        <f aca="false">SUMIFS(Policy_Results!$S$2:$S$51,Policy_Results!$B$2:$B$51,"P1 Baseline",Policy_Results!$D$2:$D$51,$A24)</f>
        <v>300567</v>
      </c>
      <c r="C24" s="15" t="n">
        <f aca="false">SUMIFS(Policy_Results!$S$2:$S$51,Policy_Results!$B$2:$B$51,"P2 Optimized",Policy_Results!$D$2:$D$51,$A24)</f>
        <v>150283.5</v>
      </c>
      <c r="D24" s="19" t="n">
        <f aca="false">IF(B24=0,0,C24/B24-1)</f>
        <v>-0.5</v>
      </c>
    </row>
    <row r="25" customFormat="false" ht="15" hidden="false" customHeight="false" outlineLevel="0" collapsed="false">
      <c r="A25" s="6" t="s">
        <v>94</v>
      </c>
      <c r="B25" s="15" t="n">
        <f aca="false">SUMIFS(Policy_Results!$S$2:$S$51,Policy_Results!$B$2:$B$51,"P1 Baseline",Policy_Results!$D$2:$D$51,$A25)</f>
        <v>58302</v>
      </c>
      <c r="C25" s="15" t="n">
        <f aca="false">SUMIFS(Policy_Results!$S$2:$S$51,Policy_Results!$B$2:$B$51,"P2 Optimized",Policy_Results!$D$2:$D$51,$A25)</f>
        <v>38868</v>
      </c>
      <c r="D25" s="19" t="n">
        <f aca="false">IF(B25=0,0,C25/B25-1)</f>
        <v>-0.333333333333333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2"/>
    <col collapsed="false" customWidth="true" hidden="false" outlineLevel="0" max="3" min="2" style="0" width="20"/>
    <col collapsed="false" customWidth="true" hidden="false" outlineLevel="0" max="4" min="4" style="0" width="80"/>
  </cols>
  <sheetData>
    <row r="1" customFormat="false" ht="17.35" hidden="false" customHeight="false" outlineLevel="0" collapsed="false">
      <c r="A1" s="1" t="s">
        <v>121</v>
      </c>
    </row>
    <row r="3" customFormat="false" ht="15" hidden="false" customHeight="false" outlineLevel="0" collapsed="false">
      <c r="A3" s="5" t="s">
        <v>122</v>
      </c>
      <c r="B3" s="5" t="s">
        <v>123</v>
      </c>
      <c r="C3" s="5" t="s">
        <v>124</v>
      </c>
      <c r="D3" s="5" t="s">
        <v>125</v>
      </c>
    </row>
    <row r="4" customFormat="false" ht="45" hidden="false" customHeight="true" outlineLevel="0" collapsed="false">
      <c r="A4" s="6" t="s">
        <v>126</v>
      </c>
      <c r="B4" s="22" t="n">
        <v>30</v>
      </c>
      <c r="C4" s="22" t="n">
        <v>0</v>
      </c>
      <c r="D4" s="8" t="s">
        <v>127</v>
      </c>
    </row>
    <row r="5" customFormat="false" ht="45" hidden="false" customHeight="true" outlineLevel="0" collapsed="false">
      <c r="A5" s="6" t="s">
        <v>128</v>
      </c>
      <c r="B5" s="22" t="n">
        <v>40</v>
      </c>
      <c r="C5" s="22" t="n">
        <v>15</v>
      </c>
      <c r="D5" s="8" t="s">
        <v>129</v>
      </c>
    </row>
    <row r="6" customFormat="false" ht="45" hidden="false" customHeight="true" outlineLevel="0" collapsed="false">
      <c r="A6" s="6" t="s">
        <v>130</v>
      </c>
      <c r="B6" s="22" t="n">
        <v>20</v>
      </c>
      <c r="C6" s="22" t="n">
        <v>15</v>
      </c>
      <c r="D6" s="8" t="s">
        <v>131</v>
      </c>
    </row>
    <row r="7" customFormat="false" ht="15" hidden="false" customHeight="false" outlineLevel="0" collapsed="false">
      <c r="A7" s="23" t="s">
        <v>132</v>
      </c>
      <c r="B7" s="6" t="n">
        <f aca="false">B5+B6</f>
        <v>60</v>
      </c>
      <c r="C7" s="6" t="n">
        <f aca="false">C5+C6</f>
        <v>30</v>
      </c>
      <c r="D7" s="21"/>
    </row>
    <row r="8" customFormat="false" ht="15" hidden="false" customHeight="false" outlineLevel="0" collapsed="false">
      <c r="A8" s="23" t="s">
        <v>133</v>
      </c>
      <c r="B8" s="6" t="n">
        <f aca="false">B4+B5+B6</f>
        <v>90</v>
      </c>
      <c r="C8" s="6" t="n">
        <f aca="false">C4+C5+C6</f>
        <v>30</v>
      </c>
      <c r="D8" s="6" t="s">
        <v>134</v>
      </c>
    </row>
    <row r="9" customFormat="false" ht="15" hidden="false" customHeight="false" outlineLevel="0" collapsed="false">
      <c r="A9" s="23" t="s">
        <v>135</v>
      </c>
      <c r="B9" s="6"/>
      <c r="C9" s="19" t="n">
        <f aca="false">IF(B8=0,0,1-C8/B8)</f>
        <v>0.666666666666667</v>
      </c>
      <c r="D9" s="21"/>
    </row>
    <row r="12" customFormat="false" ht="15" hidden="false" customHeight="false" outlineLevel="0" collapsed="false">
      <c r="A12" s="5" t="s">
        <v>136</v>
      </c>
      <c r="B12" s="5" t="s">
        <v>112</v>
      </c>
      <c r="C12" s="5" t="s">
        <v>113</v>
      </c>
      <c r="D12" s="5" t="s">
        <v>23</v>
      </c>
    </row>
    <row r="13" customFormat="false" ht="15" hidden="false" customHeight="false" outlineLevel="0" collapsed="false">
      <c r="A13" s="6" t="s">
        <v>137</v>
      </c>
      <c r="B13" s="24" t="n">
        <v>0.25</v>
      </c>
      <c r="C13" s="21"/>
      <c r="D13" s="8" t="s">
        <v>138</v>
      </c>
    </row>
    <row r="14" customFormat="false" ht="15" hidden="false" customHeight="false" outlineLevel="0" collapsed="false">
      <c r="A14" s="6" t="s">
        <v>139</v>
      </c>
      <c r="B14" s="22" t="n">
        <v>30</v>
      </c>
      <c r="C14" s="21"/>
      <c r="D14" s="8" t="s">
        <v>140</v>
      </c>
    </row>
    <row r="15" customFormat="false" ht="15" hidden="false" customHeight="false" outlineLevel="0" collapsed="false">
      <c r="A15" s="6" t="s">
        <v>141</v>
      </c>
      <c r="B15" s="6" t="n">
        <f aca="false">B8</f>
        <v>90</v>
      </c>
      <c r="C15" s="6" t="n">
        <f aca="false">C8</f>
        <v>30</v>
      </c>
      <c r="D15" s="8"/>
    </row>
    <row r="16" customFormat="false" ht="15" hidden="false" customHeight="false" outlineLevel="0" collapsed="false">
      <c r="A16" s="6" t="s">
        <v>142</v>
      </c>
      <c r="B16" s="25" t="n">
        <f aca="false">$B$13*B15/$B$14</f>
        <v>0.75</v>
      </c>
      <c r="C16" s="25" t="n">
        <f aca="false">$B$13*C15/$B$14</f>
        <v>0.25</v>
      </c>
      <c r="D16" s="8"/>
    </row>
    <row r="17" customFormat="false" ht="15" hidden="false" customHeight="false" outlineLevel="0" collapsed="false">
      <c r="A17" s="6" t="s">
        <v>143</v>
      </c>
      <c r="B17" s="26" t="n">
        <f aca="false">IF(Parameters!B5=0,0,B16/Parameters!B5)</f>
        <v>0.375</v>
      </c>
      <c r="C17" s="26" t="n">
        <f aca="false">IF(Parameters!C5=0,0,C16/Parameters!C5)</f>
        <v>0.25</v>
      </c>
      <c r="D17" s="8" t="s">
        <v>144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2026-10-25T16:06:14Z</dcterms:created>
  <dc:creator>openpyxl</dc:creator>
  <dc:description/>
  <dc:language>en-US</dc:language>
  <cp:lastModifiedBy/>
  <dcterms:modified xsi:type="dcterms:W3CDTF">2026-10-25T16:06:14Z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